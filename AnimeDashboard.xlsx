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5.xml" ContentType="application/vnd.openxmlformats-officedocument.drawing+xml"/>
  <Override PartName="/xl/slicers/slicer4.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6.xml" ContentType="application/vnd.openxmlformats-officedocument.drawing+xml"/>
  <Override PartName="/xl/slicers/slicer5.xml" ContentType="application/vnd.ms-excel.slicer+xml"/>
  <Override PartName="/xl/charts/chart19.xml" ContentType="application/vnd.openxmlformats-officedocument.drawingml.chart+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weta\Desktop\"/>
    </mc:Choice>
  </mc:AlternateContent>
  <xr:revisionPtr revIDLastSave="0" documentId="13_ncr:1_{E6EF87EE-2204-4198-9823-9C22B749466E}" xr6:coauthVersionLast="47" xr6:coauthVersionMax="47" xr10:uidLastSave="{00000000-0000-0000-0000-000000000000}"/>
  <bookViews>
    <workbookView xWindow="-108" yWindow="-108" windowWidth="23256" windowHeight="12576" firstSheet="3" activeTab="7" xr2:uid="{E558F1F4-730B-46E6-9F52-A3572DA0C3D5}"/>
  </bookViews>
  <sheets>
    <sheet name="Sheet1" sheetId="1" r:id="rId1"/>
    <sheet name="Sheet2" sheetId="4" r:id="rId2"/>
    <sheet name="PivotTable2" sheetId="10" state="hidden" r:id="rId3"/>
    <sheet name="new" sheetId="11" r:id="rId4"/>
    <sheet name="PivotTable1" sheetId="7" r:id="rId5"/>
    <sheet name="maindata2" sheetId="9" r:id="rId6"/>
    <sheet name="maindata" sheetId="6" r:id="rId7"/>
    <sheet name="Dashboard" sheetId="3" r:id="rId8"/>
    <sheet name="PlatformWiseDashboard (2)" sheetId="8" r:id="rId9"/>
  </sheets>
  <definedNames>
    <definedName name="ExternalData_1" localSheetId="0" hidden="1">Sheet1!$A$1:$G$624</definedName>
    <definedName name="ExternalData_2" localSheetId="6" hidden="1">maindata!$A$1:$G$624</definedName>
    <definedName name="ExternalData_3" localSheetId="5" hidden="1">maindata2!$A$1:$H$442</definedName>
    <definedName name="Slicer_Date.3.1">#N/A</definedName>
    <definedName name="Slicer_Date.3.11">#N/A</definedName>
    <definedName name="Slicer_Region">#N/A</definedName>
    <definedName name="Slicer_Season">#N/A</definedName>
    <definedName name="Slicer_Year">#N/A</definedName>
  </definedNames>
  <calcPr calcId="191028"/>
  <pivotCaches>
    <pivotCache cacheId="0" r:id="rId10"/>
    <pivotCache cacheId="1" r:id="rId11"/>
    <pivotCache cacheId="2" r:id="rId12"/>
    <pivotCache cacheId="3"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62" i="11" l="1"/>
  <c r="L52" i="11"/>
  <c r="M44" i="11"/>
  <c r="M39" i="11"/>
  <c r="M32" i="11"/>
  <c r="D92" i="10"/>
  <c r="A74" i="10"/>
  <c r="A107" i="10"/>
  <c r="B22" i="4"/>
  <c r="C73" i="7"/>
  <c r="B69" i="7"/>
  <c r="B65" i="7"/>
  <c r="B92" i="10"/>
  <c r="B98"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76A27D-4BF0-41BB-8489-BF13016EA6CB}"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4E4D2CAB-60E6-4B45-8517-5CE02B63AFAB}" keepAlive="1" name="Query - Sheet1 (2)" description="Connection to the 'Sheet1 (2)' query in the workbook." type="5" refreshedVersion="8" background="1" saveData="1">
    <dbPr connection="Provider=Microsoft.Mashup.OleDb.1;Data Source=$Workbook$;Location=&quot;Sheet1 (2)&quot;;Extended Properties=&quot;&quot;" command="SELECT * FROM [Sheet1 (2)]"/>
  </connection>
  <connection id="3" xr16:uid="{2508046E-B0FE-485A-BFC6-EBB25F445727}" keepAlive="1" name="Query - Sheet1 (3)" description="Connection to the 'Sheet1 (3)' query in the workbook." type="5" refreshedVersion="8" background="1" saveData="1">
    <dbPr connection="Provider=Microsoft.Mashup.OleDb.1;Data Source=$Workbook$;Location=&quot;Sheet1 (3)&quot;;Extended Properties=&quot;&quot;" command="SELECT * FROM [Sheet1 (3)]"/>
  </connection>
  <connection id="4" xr16:uid="{0E9C06A9-50ED-4CF7-BF7E-60C549AED25E}" keepAlive="1" name="Query - Sheet1 (4)" description="Connection to the 'Sheet1 (4)' query in the workbook." type="5" refreshedVersion="8" background="1" saveData="1">
    <dbPr connection="Provider=Microsoft.Mashup.OleDb.1;Data Source=$Workbook$;Location=&quot;Sheet1 (4)&quot;;Extended Properties=&quot;&quot;" command="SELECT * FROM [Sheet1 (4)]"/>
  </connection>
  <connection id="5" xr16:uid="{AC84AFD8-13B2-49FD-A6D3-E920AEE06FBA}"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 id="6" xr16:uid="{A5D006B4-6A1E-4793-A74D-AD7A5836A627}" keepAlive="1" name="Query - Table1_2" description="Connection to the 'Table1_2' query in the workbook." type="5" refreshedVersion="8" background="1" saveData="1">
    <dbPr connection="Provider=Microsoft.Mashup.OleDb.1;Data Source=$Workbook$;Location=Table1_2;Extended Properties=&quot;&quot;" command="SELECT * FROM [Table1_2]"/>
  </connection>
</connections>
</file>

<file path=xl/sharedStrings.xml><?xml version="1.0" encoding="utf-8"?>
<sst xmlns="http://schemas.openxmlformats.org/spreadsheetml/2006/main" count="7337" uniqueCount="1453">
  <si>
    <t>Anime Title</t>
  </si>
  <si>
    <t>Popularity/Members</t>
  </si>
  <si>
    <t>Rating/Score</t>
  </si>
  <si>
    <t>Genres</t>
  </si>
  <si>
    <t>Studios</t>
  </si>
  <si>
    <t>Year</t>
  </si>
  <si>
    <t>Season</t>
  </si>
  <si>
    <t>Sousou no Frieren 2nd Season</t>
  </si>
  <si>
    <t>Adventure, Drama, Fantasy, Shounen</t>
  </si>
  <si>
    <t>Madhouse</t>
  </si>
  <si>
    <t>Winter</t>
  </si>
  <si>
    <t>Jujutsu Kaisen: Shimetsu Kaiyuu - Zenpen</t>
  </si>
  <si>
    <t>Action, Supernatural, Shounen</t>
  </si>
  <si>
    <t>MAPPA</t>
  </si>
  <si>
    <t>Jigokuraku 2nd Season</t>
  </si>
  <si>
    <t xml:space="preserve">Action, Adventure, Supernatural, Gore, Historical, , </t>
  </si>
  <si>
    <t>Yuusha-kei ni Shosu: Choubatsu Yuusha 9004-tai Keimu Kiroku</t>
  </si>
  <si>
    <t>Action, Adventure, Fantasy</t>
  </si>
  <si>
    <t>Studio KAI</t>
  </si>
  <si>
    <t>[Oshi no Ko] 3rd Season</t>
  </si>
  <si>
    <t xml:space="preserve">Drama, Reincarnation, , </t>
  </si>
  <si>
    <t>Doga Kobo</t>
  </si>
  <si>
    <t>Enen no Shouboutai: San no Shou Part 2</t>
  </si>
  <si>
    <t>Action, Fantasy, Sci-Fi, Urban Fantasy, Shounen</t>
  </si>
  <si>
    <t>David Production</t>
  </si>
  <si>
    <t>Fate/strange Fake</t>
  </si>
  <si>
    <t>Action, Fantasy, Urban Fantasy</t>
  </si>
  <si>
    <t>A-1 Pictures</t>
  </si>
  <si>
    <t>Yuusha Party wo Oidasareta Kiyoubinbou</t>
  </si>
  <si>
    <t>animation studio42</t>
  </si>
  <si>
    <t>Mato Seihei no Slave 2</t>
  </si>
  <si>
    <t>Action, Fantasy, Ecchi, Harem, Shounen</t>
  </si>
  <si>
    <t>Hayabusa Film, Passione</t>
  </si>
  <si>
    <t>Shibou Yuugi de Meshi wo Kuu.</t>
  </si>
  <si>
    <t>Action, Suspense, High Stakes Game</t>
  </si>
  <si>
    <t>Studio Deen</t>
  </si>
  <si>
    <t>Vigilante: Boku no Hero Academia Illegals 2nd Season</t>
  </si>
  <si>
    <t>Action, Super Power, Shounen</t>
  </si>
  <si>
    <t>Bones Film</t>
  </si>
  <si>
    <t>Yuusha Party ni Kawaii Ko ga Ita node, Kokuhaku shitemita.</t>
  </si>
  <si>
    <t xml:space="preserve">Comedy, Fantasy, Romance, Isekai, </t>
  </si>
  <si>
    <t>Gekkou</t>
  </si>
  <si>
    <t>Mayonaka Heart Tune</t>
  </si>
  <si>
    <t xml:space="preserve">Comedy, Romance, Harem, School, </t>
  </si>
  <si>
    <t>Uruwashi no Yoi no Tsuki</t>
  </si>
  <si>
    <t xml:space="preserve">Romance, , </t>
  </si>
  <si>
    <t>Atelier Peuplier, East Fish Studio</t>
  </si>
  <si>
    <t>Kizoku Tensei: Megumareta Umare kara Saikyou no Chikara wo Eru</t>
  </si>
  <si>
    <t>Action, Adventure, Fantasy, Reincarnation</t>
  </si>
  <si>
    <t>CompTown</t>
  </si>
  <si>
    <t>Trigun Stargaze</t>
  </si>
  <si>
    <t xml:space="preserve">Action, Adventure, Sci-Fi, Adult Cast, </t>
  </si>
  <si>
    <t>Orange</t>
  </si>
  <si>
    <t>Okiraku Ryoushu no Tanoshii Ryouchi Bouei: Seisankei Majutsu de Na mo Naki Mura wo Saikyou no Jousai Toshi ni</t>
  </si>
  <si>
    <t xml:space="preserve">Fantasy, Isekai, </t>
  </si>
  <si>
    <t>NAZ</t>
  </si>
  <si>
    <t>Majutsushi Kunon wa Mieteiru</t>
  </si>
  <si>
    <t>Fantasy</t>
  </si>
  <si>
    <t>Platinum Vision</t>
  </si>
  <si>
    <t>Hell Mode: Yarikomizuki no Gamer wa Hai Settei no Isekai de Musou suru</t>
  </si>
  <si>
    <t xml:space="preserve">Action, Adventure, Fantasy, , </t>
  </si>
  <si>
    <t>Yokohama Animation Lab</t>
  </si>
  <si>
    <t>Golden Kamuy: Saishuushou</t>
  </si>
  <si>
    <t xml:space="preserve">Action, Adventure, Adult Cast, , , </t>
  </si>
  <si>
    <t>Brain's Base</t>
  </si>
  <si>
    <t>Eris no Seihai</t>
  </si>
  <si>
    <t>Mystery, Supernatural, Villainess</t>
  </si>
  <si>
    <t>Ashi Productions</t>
  </si>
  <si>
    <t>Toumei Otoko to Ningen Onna: Sonouchi Fuufu ni Naru Futari</t>
  </si>
  <si>
    <t xml:space="preserve">Fantasy, Romance, Adult Cast, Urban Fantasy, </t>
  </si>
  <si>
    <t>Project No.9</t>
  </si>
  <si>
    <t>Isekai no Sata wa Shachiku Shidai</t>
  </si>
  <si>
    <t>Boys Love, Fantasy, Adult Cast, Isekai</t>
  </si>
  <si>
    <t>"Omae Gotoki ga Maou ni Kateru to Omouna" to Yuusha Party wo Tsuihou sareta node, Outo de Kimama ni Kurashitai</t>
  </si>
  <si>
    <t>Action, Adventure, Fantasy, Girls Love</t>
  </si>
  <si>
    <t>A.C.G.T.</t>
  </si>
  <si>
    <t>Akuyaku Reijou wa Ringoku no Outaishi ni Dekiai sareru</t>
  </si>
  <si>
    <t xml:space="preserve">Fantasy, Romance, Villainess, </t>
  </si>
  <si>
    <t>Darwin Jihen</t>
  </si>
  <si>
    <t>Sci-Fi, Seinen</t>
  </si>
  <si>
    <t>Bellnox Films</t>
  </si>
  <si>
    <t>Maou no Musume wa Yasashisugiru!!</t>
  </si>
  <si>
    <t>Comedy, Fantasy, Childcare</t>
  </si>
  <si>
    <t>EMT Squared</t>
  </si>
  <si>
    <t>Kirei ni Shitemoraemasu ka.</t>
  </si>
  <si>
    <t>Slice of Life, Seinen</t>
  </si>
  <si>
    <t>Okuruto Noboru</t>
  </si>
  <si>
    <t>Medalist 2nd Season</t>
  </si>
  <si>
    <t xml:space="preserve">Drama, Sports, Performing Arts, </t>
  </si>
  <si>
    <t>ENGI</t>
  </si>
  <si>
    <t>29-sai Dokushin Chuuken Boukensha no Nichijou</t>
  </si>
  <si>
    <t>Fantasy, Shounen</t>
  </si>
  <si>
    <t>HORNETS</t>
  </si>
  <si>
    <t>Champignon no Majo</t>
  </si>
  <si>
    <t>Drama, Fantasy, Romance</t>
  </si>
  <si>
    <t>Qzil.la, Typhoon Graphics</t>
  </si>
  <si>
    <t>Hanazakari no Kimitachi e</t>
  </si>
  <si>
    <t xml:space="preserve">Romance, Crossdressing, Love Polygon, , </t>
  </si>
  <si>
    <t>Signal.MD</t>
  </si>
  <si>
    <t>MF Ghost 3rd Season</t>
  </si>
  <si>
    <t xml:space="preserve">Drama, Racing, </t>
  </si>
  <si>
    <t>Felix Film</t>
  </si>
  <si>
    <t>Yuusha no Kuzu</t>
  </si>
  <si>
    <t xml:space="preserve">Action, Organized Crime, </t>
  </si>
  <si>
    <t>OLM</t>
  </si>
  <si>
    <t>Jingai Kyoushitsu no Ningengirai Kyoushi</t>
  </si>
  <si>
    <t xml:space="preserve">Drama, Supernatural, Anthropomorphic, , </t>
  </si>
  <si>
    <t>asread.</t>
  </si>
  <si>
    <t>Arne no Jikenbo</t>
  </si>
  <si>
    <t>Fantasy, Mystery, Vampire</t>
  </si>
  <si>
    <t>SILVER LINK.</t>
  </si>
  <si>
    <t>Goumon Baito-kun no Nichijou</t>
  </si>
  <si>
    <t xml:space="preserve">Comedy, Adult Cast, </t>
  </si>
  <si>
    <t>Diomedéa</t>
  </si>
  <si>
    <t>Douse, Koishite Shimaunda. 2nd Season</t>
  </si>
  <si>
    <t xml:space="preserve">Drama, Romance, Reverse Harem, , </t>
  </si>
  <si>
    <t>Typhoon Graphics</t>
  </si>
  <si>
    <t>Jigoku Sensei Nube (2025) Part 2</t>
  </si>
  <si>
    <t>Comedy, Horror, Supernatural, Mythology, School, Shounen</t>
  </si>
  <si>
    <t>Ao no Miburo: Serizawa Ansatsu-hen</t>
  </si>
  <si>
    <t>Action, Historical, Samurai, Shounen</t>
  </si>
  <si>
    <t>Maho Film</t>
  </si>
  <si>
    <t>Yoroi Shin Den Samurai Troopers</t>
  </si>
  <si>
    <t>Action, Fantasy, Samurai, Urban Fantasy</t>
  </si>
  <si>
    <t>Sunrise</t>
  </si>
  <si>
    <t>Hikuidori: Ushuu Boro Tobi-gumi</t>
  </si>
  <si>
    <t>Historical</t>
  </si>
  <si>
    <t>SynergySP</t>
  </si>
  <si>
    <t>Saioshi no Gikei wo Mederu Tame, Nagaiki shimasu!</t>
  </si>
  <si>
    <t xml:space="preserve">Boys Love, Fantasy, , </t>
  </si>
  <si>
    <t>Imageworks Studio, Imagica Infos</t>
  </si>
  <si>
    <t>Meitantei Precure!</t>
  </si>
  <si>
    <t xml:space="preserve">Action, Mystery, Detective, Mahou Shoujo, </t>
  </si>
  <si>
    <t>Toei Animation</t>
  </si>
  <si>
    <t>High School! Kimengumi (2026)</t>
  </si>
  <si>
    <t xml:space="preserve">Comedy, Romance, Gag Humor, Parody, , </t>
  </si>
  <si>
    <t>Seven</t>
  </si>
  <si>
    <t>Yami Shibai 16</t>
  </si>
  <si>
    <t>Avant Garde, Horror, Supernatural</t>
  </si>
  <si>
    <t>ILCA</t>
  </si>
  <si>
    <t>Hokuto no Ken: Kenougun Zako-tachi no Banka</t>
  </si>
  <si>
    <t>Comedy, Gag Humor, Parody</t>
  </si>
  <si>
    <t>Doraku</t>
  </si>
  <si>
    <t>Cardfight!! Vanguard: Divinez Genma Seisen-hen</t>
  </si>
  <si>
    <t xml:space="preserve">Action, </t>
  </si>
  <si>
    <t>Gift-o’-Animation, Kinema Citrus, Studio Jemi</t>
  </si>
  <si>
    <t>One Piece</t>
  </si>
  <si>
    <t>Action, Adventure, Fantasy, Shounen</t>
  </si>
  <si>
    <t>Meitantei Conan</t>
  </si>
  <si>
    <t xml:space="preserve">Adventure, Comedy, Mystery, Detective, </t>
  </si>
  <si>
    <t>TMS Entertainment</t>
  </si>
  <si>
    <t>Fumetsu no Anata e Season 3</t>
  </si>
  <si>
    <t>Adventure, Drama, Supernatural, Shounen</t>
  </si>
  <si>
    <t>Drive, Studio Massket</t>
  </si>
  <si>
    <t>Chitose-kun wa Ramune Bin no Naka</t>
  </si>
  <si>
    <t>Comedy, Romance, Harem, School</t>
  </si>
  <si>
    <t>feel.</t>
  </si>
  <si>
    <t>Toujima Tanzaburou wa Kamen Rider ni Naritai</t>
  </si>
  <si>
    <t xml:space="preserve">Action, Comedy, Adult Cast, Super Power, </t>
  </si>
  <si>
    <t>LIDENFILMS</t>
  </si>
  <si>
    <t>Gnosia</t>
  </si>
  <si>
    <t xml:space="preserve">Sci-Fi, Suspense, Space, Survival, </t>
  </si>
  <si>
    <t>domerica</t>
  </si>
  <si>
    <t>Ao no Orchestra Season 2</t>
  </si>
  <si>
    <t xml:space="preserve">Drama, Music, Performing Arts, </t>
  </si>
  <si>
    <t>Nippon Animation</t>
  </si>
  <si>
    <t>Sazae-san</t>
  </si>
  <si>
    <t>Comedy</t>
  </si>
  <si>
    <t>Eiken</t>
  </si>
  <si>
    <t>SI-VIS: The Sound of Heroes</t>
  </si>
  <si>
    <t>Action, Music, Super Power</t>
  </si>
  <si>
    <t>Studio VOLN</t>
  </si>
  <si>
    <t>Chibi Maruko-chan (1995)</t>
  </si>
  <si>
    <t xml:space="preserve">Comedy, School, </t>
  </si>
  <si>
    <t>Ganglion</t>
  </si>
  <si>
    <t>Action, Comedy, Adult Cast, Parody</t>
  </si>
  <si>
    <t>studio maf</t>
  </si>
  <si>
    <t>Princession Orchestra</t>
  </si>
  <si>
    <t>Action, Fantasy, Music</t>
  </si>
  <si>
    <t>Koupen-chan</t>
  </si>
  <si>
    <t>Slice of Life, Anthropomorphic, Iyashikei</t>
  </si>
  <si>
    <t>Lesprit</t>
  </si>
  <si>
    <t>Ninjala (TV)</t>
  </si>
  <si>
    <t>Action</t>
  </si>
  <si>
    <t>Steel Ball Run: JoJo no Kimyou na Bouken</t>
  </si>
  <si>
    <t xml:space="preserve">Action, Adventure, Mystery, Supernatural, Historical, Racing, , </t>
  </si>
  <si>
    <t>Chou Kaguya-hime!</t>
  </si>
  <si>
    <t xml:space="preserve">Action, Sci-Fi, Supernatural, , </t>
  </si>
  <si>
    <t>Studio Chromato, Studio Colorido</t>
  </si>
  <si>
    <t>Prism Rondo</t>
  </si>
  <si>
    <t xml:space="preserve">Drama, Romance, Adult Cast, , </t>
  </si>
  <si>
    <t>Wit Studio</t>
  </si>
  <si>
    <t>Baki-dou</t>
  </si>
  <si>
    <t xml:space="preserve">Action, Gore, Martial Arts, </t>
  </si>
  <si>
    <t>Mushen Ji</t>
  </si>
  <si>
    <t>Sparkly Key Animation Studio</t>
  </si>
  <si>
    <t>Wanmei Shijie</t>
  </si>
  <si>
    <t>Action, Adventure, Fantasy, Historical, Martial Arts</t>
  </si>
  <si>
    <t>Foch Film</t>
  </si>
  <si>
    <t>Doupo Cangqiong: Nian Fan</t>
  </si>
  <si>
    <t>Motion Magic</t>
  </si>
  <si>
    <t>Tian Guan Cifu Short Films</t>
  </si>
  <si>
    <t xml:space="preserve">Action, Adventure, Drama, Fantasy, , </t>
  </si>
  <si>
    <t>Red Dog Culture House</t>
  </si>
  <si>
    <t>Douluo Dalu II: Jueshi Tangmen</t>
  </si>
  <si>
    <t xml:space="preserve">Action, Adventure, Fantasy, </t>
  </si>
  <si>
    <t>Tunshi Xingkong 4th Season</t>
  </si>
  <si>
    <t>Action, Adventure, Fantasy, Sci-Fi, Martial Arts</t>
  </si>
  <si>
    <t>Yu-Gi-Oh! Card Game: The Chronicles</t>
  </si>
  <si>
    <t>Action, Adventure, Fantasy, Sci-Fi</t>
  </si>
  <si>
    <t>Konami animation</t>
  </si>
  <si>
    <t>Lian Qi Shi Wan Nian</t>
  </si>
  <si>
    <t>Suoyi Technology</t>
  </si>
  <si>
    <t>Wei Miao Rensheng</t>
  </si>
  <si>
    <t xml:space="preserve">Romance, Supernatural, , </t>
  </si>
  <si>
    <t>Paper Plane Animation Studio</t>
  </si>
  <si>
    <t>Yu Ling Shi</t>
  </si>
  <si>
    <t>Action, Adventure, Comedy, Fantasy, Isekai</t>
  </si>
  <si>
    <t>UKA</t>
  </si>
  <si>
    <t>Guangyin Zhi Wai</t>
  </si>
  <si>
    <t>Flying Fish Studio, Yien Animation Studio</t>
  </si>
  <si>
    <t>Jian Lai 2nd Season</t>
  </si>
  <si>
    <t>Cloud Art</t>
  </si>
  <si>
    <t>Shen Mu: Nian Fan</t>
  </si>
  <si>
    <t>Wonder Cat Animation, Yien Animation Studio</t>
  </si>
  <si>
    <t>Shenkong Bi An</t>
  </si>
  <si>
    <t>Tian Xiang</t>
  </si>
  <si>
    <t>Honglu Technology</t>
  </si>
  <si>
    <t>Shanhai Jing Mima</t>
  </si>
  <si>
    <t>Qingxiang Culture</t>
  </si>
  <si>
    <t>Noto Hantou Fukkou Ouen Kikaku</t>
  </si>
  <si>
    <t>Slice of Life</t>
  </si>
  <si>
    <t>ROLL2</t>
  </si>
  <si>
    <t>All You Need Is Kill</t>
  </si>
  <si>
    <t>Action, Sci-Fi, Military, Time Travel</t>
  </si>
  <si>
    <t>Studio 4°C</t>
  </si>
  <si>
    <t>Hanarokushou ga Akeru Hi ni</t>
  </si>
  <si>
    <t>Drama</t>
  </si>
  <si>
    <t>Studio Outrigger</t>
  </si>
  <si>
    <t>Ginga Tokkyuu Milky☆Subway Movie: Kakueki Teisha Gekijou Yuki</t>
  </si>
  <si>
    <t>Comedy, Sci-Fi, Space</t>
  </si>
  <si>
    <t>Shin-Ei Animation</t>
  </si>
  <si>
    <t>Watashi ga Koibito ni Nareru Wake Nai jan, Muri Muri! (※Muri ja Nakatta!?) (TV Special)</t>
  </si>
  <si>
    <t>Comedy, Girls Love, Harem, School</t>
  </si>
  <si>
    <t>studio MOTHER</t>
  </si>
  <si>
    <t>Evangelion: Housou 30-shuunen Kinen Tokubetsu Kougyou</t>
  </si>
  <si>
    <t>Sci-Fi, Suspense, Mecha, Psychological</t>
  </si>
  <si>
    <t>Khara</t>
  </si>
  <si>
    <t>Tensui no Sakuna-hime: Kokorowa Inasaku Nisshi</t>
  </si>
  <si>
    <t>Action, Fantasy, Mythology</t>
  </si>
  <si>
    <t>P.A. Works</t>
  </si>
  <si>
    <t>Princess Principal: Crown Handler 4 - Fabulous Platypus</t>
  </si>
  <si>
    <t>Mystery, Historical</t>
  </si>
  <si>
    <t>Actas</t>
  </si>
  <si>
    <t>Tensei shitara Slime Datta Ken 4th Season</t>
  </si>
  <si>
    <t xml:space="preserve">Action, Comedy, Fantasy, Isekai, , </t>
  </si>
  <si>
    <t>8bit</t>
  </si>
  <si>
    <t>Spring</t>
  </si>
  <si>
    <t>Otonari no Tenshi-sama ni Itsunomanika Dame Ningen ni Sareteita Ken 2</t>
  </si>
  <si>
    <t>Romance, School</t>
  </si>
  <si>
    <t>Dr. Stone: Science Future Part 3</t>
  </si>
  <si>
    <t>Adventure, Comedy, Shounen</t>
  </si>
  <si>
    <t>Honzuki no Gekokujou: Shisho ni Naru Tame ni wa Shudan wo Erandeiraremasen - Ryoushu no Youjo</t>
  </si>
  <si>
    <t>Fantasy, Isekai, Reincarnation</t>
  </si>
  <si>
    <t>Mairimashita! Iruma-kun 4th Season</t>
  </si>
  <si>
    <t>Comedy, Fantasy, School, Shounen</t>
  </si>
  <si>
    <t>Bandai Namco Pictures</t>
  </si>
  <si>
    <t>Koori no Jouheki</t>
  </si>
  <si>
    <t>Comedy, Romance, School</t>
  </si>
  <si>
    <t>Kanan-sama wa Akumade Choroi</t>
  </si>
  <si>
    <t xml:space="preserve">Comedy, Romance, Supernatural, School, </t>
  </si>
  <si>
    <t>Saikyou no Shokugyou wa Yuusha demo Kenja demo Naku Kanteishi (Kari) Rashii desu yo?</t>
  </si>
  <si>
    <t>Adventure, Comedy, Fantasy, Isekai</t>
  </si>
  <si>
    <t>Studio Flad</t>
  </si>
  <si>
    <t>Nigashita Sakana wa Ookikatta ga Tsuriageta Sakana ga Ookisugita Ken</t>
  </si>
  <si>
    <t>Comedy, Fantasy, Romance</t>
  </si>
  <si>
    <t>TROYCA</t>
  </si>
  <si>
    <t>Dorohedoro Season 2</t>
  </si>
  <si>
    <t>Action, Comedy, Fantasy, Horror, Gore, Seinen</t>
  </si>
  <si>
    <t>Ore dake Level Up na Ken Season 2: Arise from the Shadow</t>
  </si>
  <si>
    <t>Action, Adventure, Fantasy, Adult Cast, Urban Fantasy</t>
  </si>
  <si>
    <t>Sakamoto Days</t>
  </si>
  <si>
    <t xml:space="preserve">Action, Comedy, Adult Cast, , </t>
  </si>
  <si>
    <t>Kusuriya no Hitorigoto 2nd Season</t>
  </si>
  <si>
    <t xml:space="preserve">Drama, Mystery, , </t>
  </si>
  <si>
    <t>OLM, TOHO animation STUDIO</t>
  </si>
  <si>
    <t>Dr. Stone: Science Future</t>
  </si>
  <si>
    <t>Kimi no Koto ga Daidaidaidaidaisuki na 100-nin no Kanojo 2nd Season</t>
  </si>
  <si>
    <t xml:space="preserve">Comedy, Romance, , , , </t>
  </si>
  <si>
    <t>Bibury Animation Studios</t>
  </si>
  <si>
    <t>Zenshuu.</t>
  </si>
  <si>
    <t>Action, Fantasy, Isekai</t>
  </si>
  <si>
    <t>Class no Daikirai na Joshi to Kekkon suru Koto ni Natta.</t>
  </si>
  <si>
    <t>Comedy, Romance</t>
  </si>
  <si>
    <t>AXsiZ, Studio Gokumi</t>
  </si>
  <si>
    <t>Watashi no Shiawase na Kekkon 2nd Season</t>
  </si>
  <si>
    <t xml:space="preserve">Drama, Fantasy, Romance, Adult Cast, </t>
  </si>
  <si>
    <t>Kinema Citrus</t>
  </si>
  <si>
    <t>Guild no Uketsukejou desu ga, Zangyou wa Iya nanode Boss wo Solo Toubatsu Shiyou to Omoimasu</t>
  </si>
  <si>
    <t>Action, Adventure, Comedy, Fantasy</t>
  </si>
  <si>
    <t>CloverWorks</t>
  </si>
  <si>
    <t>Kono Kaisha ni Suki na Hito ga Imasu</t>
  </si>
  <si>
    <t xml:space="preserve">Comedy, Romance, Adult Cast, , </t>
  </si>
  <si>
    <t>Blade</t>
  </si>
  <si>
    <t>Fuguushoku "Kanteishi" ga Jitsu wa Saikyou Datta</t>
  </si>
  <si>
    <t>Honey Lemon Soda</t>
  </si>
  <si>
    <t xml:space="preserve">Romance, School, </t>
  </si>
  <si>
    <t>J.C.Staff</t>
  </si>
  <si>
    <t>Kuroiwa Medaka ni Watashi no Kawaii ga Tsuujinai</t>
  </si>
  <si>
    <t xml:space="preserve">Comedy, Romance, Love Status Quo, , </t>
  </si>
  <si>
    <t>Izure Saikyou no Renkinjutsushi?</t>
  </si>
  <si>
    <t>Adventure, Fantasy, Isekai</t>
  </si>
  <si>
    <t>Studio Comet</t>
  </si>
  <si>
    <t>Salaryman ga Isekai ni Ittara Shitennou ni Natta Hanashi</t>
  </si>
  <si>
    <t xml:space="preserve">Adventure, Comedy, Fantasy, </t>
  </si>
  <si>
    <t>CompTown, Geek Toys</t>
  </si>
  <si>
    <t>A-Rank Party wo Ridatsu shita Ore wa, Moto Oshiego-tachi to Meikyuu Shinbu wo Mezasu.</t>
  </si>
  <si>
    <t xml:space="preserve">Action, Adventure, Fantasy, Romance, </t>
  </si>
  <si>
    <t>Hazure Skill "Kinomi Master": Skill no Mi (Tabetara Shinu) wo Mugen ni Taberareru You ni Natta Ken ni Tsuite</t>
  </si>
  <si>
    <t>Asahi Production</t>
  </si>
  <si>
    <t>Around 40 Otoko no Isekai Tsuuhan</t>
  </si>
  <si>
    <t xml:space="preserve">Fantasy, Harem, Isekai, </t>
  </si>
  <si>
    <t>East Fish Studio</t>
  </si>
  <si>
    <t>Ameku Takao no Suiri Karte</t>
  </si>
  <si>
    <t>Mystery, Adult Cast, Medical</t>
  </si>
  <si>
    <t>Medalist</t>
  </si>
  <si>
    <t>Botsuraku Yotei no Kizoku dakedo, Hima Datta kara Mahou wo Kiwametemita</t>
  </si>
  <si>
    <t>Adventure, Fantasy</t>
  </si>
  <si>
    <t>Marvy Jack, Studio Deen</t>
  </si>
  <si>
    <t>Okinawa de Suki ni Natta Ko ga Hougen Sugite Tsurasugiru</t>
  </si>
  <si>
    <t xml:space="preserve">Comedy, Romance, Love Polygon, </t>
  </si>
  <si>
    <t>Millepensee</t>
  </si>
  <si>
    <t>Sentai Red Isekai de Boukensha ni Naru</t>
  </si>
  <si>
    <t xml:space="preserve">Action, Adventure, Comedy, Fantasy, Isekai, </t>
  </si>
  <si>
    <t>Satelight</t>
  </si>
  <si>
    <t>Unnamed Memory Act.2</t>
  </si>
  <si>
    <t>Adventure, Fantasy, Romance</t>
  </si>
  <si>
    <t>Momentary Lily</t>
  </si>
  <si>
    <t>Action, Fantasy, Sci-Fi</t>
  </si>
  <si>
    <t>GoHands</t>
  </si>
  <si>
    <t>Mahoutsukai Precure!! Mirai Days</t>
  </si>
  <si>
    <t>Studio Deen, Toei Animation</t>
  </si>
  <si>
    <t>Sousei no Aquarion: Myth of Emotions</t>
  </si>
  <si>
    <t>Sci-Fi, Mecha</t>
  </si>
  <si>
    <t>Re:Zero kara Hajimeru Isekai Seikatsu 3rd Season</t>
  </si>
  <si>
    <t xml:space="preserve">Drama, Fantasy, Suspense, Isekai, , </t>
  </si>
  <si>
    <t>White Fox</t>
  </si>
  <si>
    <t>Ao no Hako</t>
  </si>
  <si>
    <t xml:space="preserve">Romance, Sports, , , , </t>
  </si>
  <si>
    <t>Telecom Animation Film</t>
  </si>
  <si>
    <t>Chi. Chikyuu no Undou ni Tsuite</t>
  </si>
  <si>
    <t xml:space="preserve">Drama, Historical, </t>
  </si>
  <si>
    <t>Shangri-La Frontier: Kusoge Hunter, Kamige ni Idoman to su 2nd Season</t>
  </si>
  <si>
    <t xml:space="preserve">Action, Adventure, Fantasy, Video Game, </t>
  </si>
  <si>
    <t>C2C</t>
  </si>
  <si>
    <t>Dungeon ni Deai wo Motomeru no wa Machigatteiru Darou ka V: Houjou no Megami-hen</t>
  </si>
  <si>
    <t>Arifureta Shokugyou de Sekai Saikyou Season 3</t>
  </si>
  <si>
    <t>Action, Adventure, Fantasy, Harem, Isekai</t>
  </si>
  <si>
    <t>Dragon Ball Daima</t>
  </si>
  <si>
    <t xml:space="preserve">Action, Adventure, Comedy, Fantasy, Martial Arts, </t>
  </si>
  <si>
    <t>Kimi to Boku no Saigo no Senjou, Aruiwa Sekai ga Hajimaru Seisen Season II</t>
  </si>
  <si>
    <t xml:space="preserve">Action, Fantasy, Romance, </t>
  </si>
  <si>
    <t>SILVER LINK., Studio Palette</t>
  </si>
  <si>
    <t>Amagami-san Chi no Enmusubi</t>
  </si>
  <si>
    <t xml:space="preserve">Comedy, Romance, Supernatural, Harem, </t>
  </si>
  <si>
    <t>Drive</t>
  </si>
  <si>
    <t>Yu☆Gi☆Oh! Go Rush!!</t>
  </si>
  <si>
    <t>Action, Fantasy, Strategy Game</t>
  </si>
  <si>
    <t>Bridge</t>
  </si>
  <si>
    <t>Tousouchuu: Great Mission</t>
  </si>
  <si>
    <t>Sci-Fi, Suspense, High Stakes Game</t>
  </si>
  <si>
    <t>Chao Neng Lifang: Chaofan Pian</t>
  </si>
  <si>
    <t>Big Firebird Culture</t>
  </si>
  <si>
    <t>Princess Connect! Michibiki no Hatsuhana: Fiore Storia</t>
  </si>
  <si>
    <t>Adventure, Comedy, Fantasy</t>
  </si>
  <si>
    <t>G-angle</t>
  </si>
  <si>
    <t>Nomo no Kuni</t>
  </si>
  <si>
    <t>Fantasy, Isekai</t>
  </si>
  <si>
    <t>monofilmo</t>
  </si>
  <si>
    <t>Sorairo Utility x Birdie Wing: Golf Girls' Story Mini Anime</t>
  </si>
  <si>
    <t>Comedy, Sports</t>
  </si>
  <si>
    <t>AQUA ARIS</t>
  </si>
  <si>
    <t>Koi no Yu♨️Talk</t>
  </si>
  <si>
    <t>Boys Love, Comedy, Supernatural, Vampire, Shounen</t>
  </si>
  <si>
    <t>Huo Feng Liao Yuan Er</t>
  </si>
  <si>
    <t>Action, Adventure, Historical, Martial Arts</t>
  </si>
  <si>
    <t>LX Animation Studio</t>
  </si>
  <si>
    <t>Xiang Huo Er Sheng</t>
  </si>
  <si>
    <t>Action, Drama</t>
  </si>
  <si>
    <t>HM Heros</t>
  </si>
  <si>
    <t>Junzi Wu Ji</t>
  </si>
  <si>
    <t xml:space="preserve">Fantasy, Romance, </t>
  </si>
  <si>
    <t>Wonder Cat Animation</t>
  </si>
  <si>
    <t>Fanren Xiu Xian Zhuan: Xu Tian Zhan Ji</t>
  </si>
  <si>
    <t>Original Force, Wonder Cat Animation</t>
  </si>
  <si>
    <t>Shaonian Ge Xing: Xue Ran Tianqi Pian</t>
  </si>
  <si>
    <t>Action, Adventure, Mystery, Historical, Martial Arts</t>
  </si>
  <si>
    <t>CG Year</t>
  </si>
  <si>
    <t>Petit Forma: Denhan Kyoku Nisshi</t>
  </si>
  <si>
    <t>Mystery, Sci-Fi, Detective</t>
  </si>
  <si>
    <t>Tianming Da Zhuzai</t>
  </si>
  <si>
    <t>Ruo Hong Culture</t>
  </si>
  <si>
    <t>Zui Qiang Shengji</t>
  </si>
  <si>
    <t xml:space="preserve">Action, Adventure, Fantasy, Historical, Isekai, </t>
  </si>
  <si>
    <t>Tang Kirin Culture</t>
  </si>
  <si>
    <t>Hazure Skill "Kinomi Master": Skill no Mi (Tabetara Shinu) wo Mugen ni Taberareru You ni Natta Ken ni Tsuite Mini Anime</t>
  </si>
  <si>
    <t>Comedy, Fantasy</t>
  </si>
  <si>
    <t>Aka no Kioku</t>
  </si>
  <si>
    <t>Studio DURIAN</t>
  </si>
  <si>
    <t>Kidou Senshi Gundam: GQuuuuuuX - Beginning</t>
  </si>
  <si>
    <t>Sci-Fi, Mecha, Space</t>
  </si>
  <si>
    <t>Khara, Sunrise</t>
  </si>
  <si>
    <t>Aldnoah.Zero: Ame no Danshou - The Penultimate Truth</t>
  </si>
  <si>
    <t>A-1 Pictures, TROYCA</t>
  </si>
  <si>
    <t>Momentary Lily: Tsuzuiteiku Kappou, Kappou!</t>
  </si>
  <si>
    <t>Fate/Grand Order: Fujimaru Ritsuka wa Wakaranai Season 2 Specials</t>
  </si>
  <si>
    <t>DLE</t>
  </si>
  <si>
    <t>Dandadan 2nd Season</t>
  </si>
  <si>
    <t>Action, Comedy, Supernatural, Shounen</t>
  </si>
  <si>
    <t>Science SARU</t>
  </si>
  <si>
    <t>Summer</t>
  </si>
  <si>
    <t>Gachiakuta</t>
  </si>
  <si>
    <t>Action, Fantasy, Shounen</t>
  </si>
  <si>
    <t>Sono Bisque Doll wa Koi wo Suru Season 2</t>
  </si>
  <si>
    <t xml:space="preserve">Romance, Otaku Culture, , </t>
  </si>
  <si>
    <t>Kaoru Hana wa Rin to Saku</t>
  </si>
  <si>
    <t>Drama, Romance, School</t>
  </si>
  <si>
    <t>Kaijuu 8-gou 2nd Season</t>
  </si>
  <si>
    <t xml:space="preserve">Action, Fantasy, Sci-Fi, Adult Cast, Military, , </t>
  </si>
  <si>
    <t>Production I.G</t>
  </si>
  <si>
    <t>Hikaru ga Shinda Natsu</t>
  </si>
  <si>
    <t>Horror, Mystery, Supernatural</t>
  </si>
  <si>
    <t>CygamesPictures</t>
  </si>
  <si>
    <t>Sakamoto Days Part 2</t>
  </si>
  <si>
    <t>Yofukashi no Uta Season 2</t>
  </si>
  <si>
    <t xml:space="preserve">Romance, Supernatural, Vampire, </t>
  </si>
  <si>
    <t>Silent Witch: Chinmoku no Majo no Kakushigoto</t>
  </si>
  <si>
    <t>Fantasy, School</t>
  </si>
  <si>
    <t>Studio Gokumi</t>
  </si>
  <si>
    <t>Seishun Buta Yarou wa Santa Claus no Yume wo Minai</t>
  </si>
  <si>
    <t>Drama, Romance, Supernatural, School</t>
  </si>
  <si>
    <t>Grand Blue Season 2</t>
  </si>
  <si>
    <t xml:space="preserve">Comedy, Adult Cast, Gag Humor, </t>
  </si>
  <si>
    <t>Liber, Zero-G</t>
  </si>
  <si>
    <t>Mizu Zokusei no Mahoutsukai</t>
  </si>
  <si>
    <t xml:space="preserve">Adventure, Fantasy, , </t>
  </si>
  <si>
    <t>Typhoon Graphics, WonderLand</t>
  </si>
  <si>
    <t>Clevatess: Majuu no Ou to Akago to Shikabane no Yuusha</t>
  </si>
  <si>
    <t>Action, Fantasy</t>
  </si>
  <si>
    <t>Lay-duce</t>
  </si>
  <si>
    <t>Tate no Yuusha no Nariagari Season 4</t>
  </si>
  <si>
    <t>Action, Adventure, Drama, Fantasy, Isekai</t>
  </si>
  <si>
    <t>Tensei shitara Dainana Ouji Datta node, Kimama ni Majutsu wo Kiwamemasu 2nd Season</t>
  </si>
  <si>
    <t xml:space="preserve">Adventure, Fantasy, </t>
  </si>
  <si>
    <t>Tsumugi Akita Animation Lab</t>
  </si>
  <si>
    <t>Isekai Mokushiroku Mynoghra: Hametsu no Bunmei de Hajimeru Sekai Seifuku</t>
  </si>
  <si>
    <t xml:space="preserve">Adventure, Fantasy, Isekai, </t>
  </si>
  <si>
    <t>Mikadono Sanshimai wa Angai, Choroi.</t>
  </si>
  <si>
    <t xml:space="preserve">Comedy, Romance, Harem, </t>
  </si>
  <si>
    <t>Kanojo, Okarishimasu 4th Season</t>
  </si>
  <si>
    <t xml:space="preserve">Comedy, Romance, Adult Cast, Harem, </t>
  </si>
  <si>
    <t>Yuusha Party wo Tsuihou sareta Shiromadoushi, S-Rank Boukensha ni Hirowareru: Kono Shiromadoushi ga Kikakugai Sugiru</t>
  </si>
  <si>
    <t>Tsuyokute New Saga</t>
  </si>
  <si>
    <t>Adventure, Fantasy, Time Travel</t>
  </si>
  <si>
    <t>Sotsu, Studio Clutch</t>
  </si>
  <si>
    <t>Watari-kun no xx ga Houkai Sunzen</t>
  </si>
  <si>
    <t xml:space="preserve">Comedy, Drama, Romance, Love Polygon, , </t>
  </si>
  <si>
    <t>Staple Entertainment</t>
  </si>
  <si>
    <t>Zutaboro Reijou wa Ane no Moto Konyakusha ni Dekiai sareru</t>
  </si>
  <si>
    <t>Drama, Romance, Josei</t>
  </si>
  <si>
    <t>LandQ studios</t>
  </si>
  <si>
    <t>Yami Shibai 15</t>
  </si>
  <si>
    <t>Witch Watch</t>
  </si>
  <si>
    <t xml:space="preserve">Comedy, Fantasy, , </t>
  </si>
  <si>
    <t>Shin Samurai-den Yaiba</t>
  </si>
  <si>
    <t xml:space="preserve">Action, Adventure, Samurai, </t>
  </si>
  <si>
    <t>Takopii no Genzai</t>
  </si>
  <si>
    <t xml:space="preserve">Drama, Sci-Fi, Psychological, Time Travel, </t>
  </si>
  <si>
    <t>Enishiya</t>
  </si>
  <si>
    <t>Tu Bian Yingxiong X</t>
  </si>
  <si>
    <t>B.COOL STUDIO, LAN Studio, Paper Plane Animation Studio, Pb Animation</t>
  </si>
  <si>
    <t>Guimi Zhi Zhu: Xiaochou Pian</t>
  </si>
  <si>
    <t>Action, Fantasy, Mystery, Suspense, Adult Cast, Isekai</t>
  </si>
  <si>
    <t>B.CMAY PICTURES</t>
  </si>
  <si>
    <t>Xin Yichang Shengwu Jianwen Lu: Xu</t>
  </si>
  <si>
    <t>Sci-Fi</t>
  </si>
  <si>
    <t>LAN Studio, Pb Animation, Sunflowers</t>
  </si>
  <si>
    <t>Oogiri New Saga</t>
  </si>
  <si>
    <t>Ling Tian Du Zun</t>
  </si>
  <si>
    <t>Idobata Kaigi de New Saga</t>
  </si>
  <si>
    <t>Ano Hi no Kanojo-tachi: Day 09 - Miu Takigawa</t>
  </si>
  <si>
    <t>Slice of Life, Idols (Female)</t>
  </si>
  <si>
    <t>Shuangsheng Wu Hun</t>
  </si>
  <si>
    <t>Tsuihou Shiromadoushi Mini Anime</t>
  </si>
  <si>
    <t>Chainsaw Man Movie: Reze-hen</t>
  </si>
  <si>
    <t xml:space="preserve">Action, Fantasy, Gore, Urban Fantasy, </t>
  </si>
  <si>
    <t>Kimetsu no Yaiba Movie 1: Mugenjou-hen - Akaza Sairai</t>
  </si>
  <si>
    <t>Action, Award Winning, Supernatural, Historical, Shounen</t>
  </si>
  <si>
    <t>ufotable</t>
  </si>
  <si>
    <t>Hyakuemu.</t>
  </si>
  <si>
    <t>Drama, Sports</t>
  </si>
  <si>
    <t>Rock'n Roll Mountain</t>
  </si>
  <si>
    <t>Kimetsu no Yaiba Movie: Mugenjou-hen Manner Eizou</t>
  </si>
  <si>
    <t>Comedy, Shounen</t>
  </si>
  <si>
    <t>Langlang Shan Xiao Yaoguai</t>
  </si>
  <si>
    <t>Fenz, Shanghai Animation Film Studio</t>
  </si>
  <si>
    <t>Silent Witch: Chinmoku no Majo no Kakushigoto - Sennyuu Kiroku</t>
  </si>
  <si>
    <t>9: Ruler's Crown - Branch X</t>
  </si>
  <si>
    <t>Mystery, Romance, School, Super Power, Time Travel</t>
  </si>
  <si>
    <t>PRA</t>
  </si>
  <si>
    <t>Enen no Shouboutai: San no Shou</t>
  </si>
  <si>
    <t xml:space="preserve">Action, Fantasy, Sci-Fi, Urban Fantasy, </t>
  </si>
  <si>
    <t>Wind Breaker Season 2</t>
  </si>
  <si>
    <t>Action, Delinquents, School</t>
  </si>
  <si>
    <t>Katainaka no Ossan, Kensei ni Naru</t>
  </si>
  <si>
    <t>Saikyou no Ousama, Nidome no Jinsei wa Nani wo Suru?</t>
  </si>
  <si>
    <t>Studio A-CAT</t>
  </si>
  <si>
    <t>Isshun de Chiryou shiteita noni Yakutatazu to Tsuihou sareta Tensai Chiyushi, Yami Healer toshite Tanoshiku Ikiru</t>
  </si>
  <si>
    <t>Makaria</t>
  </si>
  <si>
    <t>Haite Kudasai, Takamine-san</t>
  </si>
  <si>
    <t xml:space="preserve">Comedy, Romance, Ecchi, School, </t>
  </si>
  <si>
    <t>Slime Taoshite 300-nen, Shiranai Uchi ni Level Max ni Nattemashita: Sono Ni</t>
  </si>
  <si>
    <t>Comedy, Fantasy, CGDCT, Isekai</t>
  </si>
  <si>
    <t>Teddy</t>
  </si>
  <si>
    <t>Shiunji-ke no Kodomotachi</t>
  </si>
  <si>
    <t>Uma Musume: Cinderella Gray</t>
  </si>
  <si>
    <t xml:space="preserve">Drama, Sports, Anthropomorphic, , </t>
  </si>
  <si>
    <t>Kanpekisugite Kawaige ga Nai to Konyaku Haki sareta Seijo wa Ringoku ni Urareru</t>
  </si>
  <si>
    <t>Fantasy, Romance</t>
  </si>
  <si>
    <t>Aharen-san wa Hakarenai Season 2</t>
  </si>
  <si>
    <t>Apocalypse Hotel</t>
  </si>
  <si>
    <t>Comedy, Sci-Fi</t>
  </si>
  <si>
    <t>Ninja to Koroshiya no Futarigurashi</t>
  </si>
  <si>
    <t>Shaft</t>
  </si>
  <si>
    <t>Classic★Stars</t>
  </si>
  <si>
    <t>Music, School</t>
  </si>
  <si>
    <t>Kanchigai no Atelier Meister Mini Anime</t>
  </si>
  <si>
    <t>Shenguo Zhi Shang</t>
  </si>
  <si>
    <t>Wo de Shixiong Tai Qiang Le</t>
  </si>
  <si>
    <t>Terra Live</t>
  </si>
  <si>
    <t>Comedy, Parody</t>
  </si>
  <si>
    <t>Panda Tower Studio, Space Neko Company</t>
  </si>
  <si>
    <t>Yujin Xingzhe</t>
  </si>
  <si>
    <t>Action, Sci-Fi</t>
  </si>
  <si>
    <t>D.ROCK-ART</t>
  </si>
  <si>
    <t>Tsurezure PoPiPa</t>
  </si>
  <si>
    <t>Studio Moriken</t>
  </si>
  <si>
    <t>Ke Jin Wanjia</t>
  </si>
  <si>
    <t>Action, Fantasy, Video Game</t>
  </si>
  <si>
    <t>Wangzhe Rongyao: Rongyao Zhi Zhang - Mingyun Pian</t>
  </si>
  <si>
    <t>Original Force</t>
  </si>
  <si>
    <t>Tun Tian Ji</t>
  </si>
  <si>
    <t>Princess Principal: Crown Handler 4</t>
  </si>
  <si>
    <t>Action, Mystery, Historical</t>
  </si>
  <si>
    <t>Lupin the IIIrd the Movie: Fujimi no Ketsuzoku</t>
  </si>
  <si>
    <t xml:space="preserve">Action, Adventure, Comedy, Mystery, , </t>
  </si>
  <si>
    <t>Hyakushou Kizoku 2nd Season Specials</t>
  </si>
  <si>
    <t>Comedy, Sci-Fi, Shoujo</t>
  </si>
  <si>
    <t>Pie in the sky</t>
  </si>
  <si>
    <t>One Punch Man 3</t>
  </si>
  <si>
    <t xml:space="preserve">Action, Comedy, Adult Cast, Parody, , </t>
  </si>
  <si>
    <t>Fall</t>
  </si>
  <si>
    <t>Spy x Family Season 3</t>
  </si>
  <si>
    <t xml:space="preserve">Action, Comedy, , , </t>
  </si>
  <si>
    <t>CloverWorks, Wit Studio</t>
  </si>
  <si>
    <t>Boku no Hero Academia: Final Season</t>
  </si>
  <si>
    <t xml:space="preserve">Action, School, Super Power, </t>
  </si>
  <si>
    <t>Ansatsusha de Aru Ore no Status ga Yuusha yori mo Akiraka ni Tsuyoi no da ga</t>
  </si>
  <si>
    <t>Action, Adventure, Fantasy, Isekai</t>
  </si>
  <si>
    <t>Saigo ni Hitotsu dake Onegai shitemo Yoroshii deshou ka</t>
  </si>
  <si>
    <t>Action, Comedy, Fantasy, Romance, Villainess</t>
  </si>
  <si>
    <t>Tondemo Skill de Isekai Hourou Meshi 2</t>
  </si>
  <si>
    <t>Adventure, Comedy, Fantasy, Gourmet, Isekai</t>
  </si>
  <si>
    <t>Tomodachi no Imouto ga Ore ni dake Uzai</t>
  </si>
  <si>
    <t>Yasei no Last Boss ga Arawareta!</t>
  </si>
  <si>
    <t>WAO World</t>
  </si>
  <si>
    <t>Sanda</t>
  </si>
  <si>
    <t xml:space="preserve">Action, Mystery, School, </t>
  </si>
  <si>
    <t>Towa no Yuugure</t>
  </si>
  <si>
    <t>Romance, Sci-Fi</t>
  </si>
  <si>
    <t>Watashi wo Tabetai, Hitodenashi</t>
  </si>
  <si>
    <t xml:space="preserve">Drama, Girls Love, Supernatural, Mythology, </t>
  </si>
  <si>
    <t>Studio Lings</t>
  </si>
  <si>
    <t>Uma Musume: Cinderella Gray Part 2</t>
  </si>
  <si>
    <t>Monster Strike: Deadverse Reloaded</t>
  </si>
  <si>
    <t>Yumeta Company</t>
  </si>
  <si>
    <t>Xian Di Guilai</t>
  </si>
  <si>
    <t>Xuan Jie Zhi Men</t>
  </si>
  <si>
    <t>BYMENT</t>
  </si>
  <si>
    <t>Aoshi Dan Shen</t>
  </si>
  <si>
    <t>Jiu Yang Wushen</t>
  </si>
  <si>
    <t>Xing Yi Kai Chen</t>
  </si>
  <si>
    <t>Ugoku! Neko Mukashibanashi</t>
  </si>
  <si>
    <t>Comedy, Anthropomorphic</t>
  </si>
  <si>
    <t>Koala Enikki</t>
  </si>
  <si>
    <t>Slice of Life, Anthropomorphic</t>
  </si>
  <si>
    <t>Kikaijikake no Marie Mini Anime</t>
  </si>
  <si>
    <t>Comedy, Romance, Shoujo</t>
  </si>
  <si>
    <t>One Punch Man 2nd Season: Ichigeki de Wakaru! Maji Furikaeri!</t>
  </si>
  <si>
    <t>Action, Comedy, Adult Cast, Parody, Super Power, Seinen</t>
  </si>
  <si>
    <t>Ore dake Level Up na Ken</t>
  </si>
  <si>
    <t>Dungeon Meshi</t>
  </si>
  <si>
    <t>Adventure, Comedy, Fantasy, Gourmet, Seinen</t>
  </si>
  <si>
    <t>Trigger</t>
  </si>
  <si>
    <t>Youkoso Jitsuryoku Shijou Shugi no Kyoushitsu e 3rd Season</t>
  </si>
  <si>
    <t>Drama, Suspense, Psychological, School</t>
  </si>
  <si>
    <t>Lerche</t>
  </si>
  <si>
    <t>Mashle: Shinkakusha Kouho Senbatsu Shiken-hen</t>
  </si>
  <si>
    <t xml:space="preserve">Action, Comedy, Fantasy, Gag Humor, Parody, , </t>
  </si>
  <si>
    <t>Yubisaki to Renren</t>
  </si>
  <si>
    <t xml:space="preserve">Romance, Adult Cast, </t>
  </si>
  <si>
    <t>Ajia-do</t>
  </si>
  <si>
    <t>Tsuki ga Michibiku Isekai Douchuu 2nd Season</t>
  </si>
  <si>
    <t>Chiyu Mahou no Machigatta Tsukaikata</t>
  </si>
  <si>
    <t>Shin-Ei Animation, Studio Add</t>
  </si>
  <si>
    <t>Boku no Kokoro no Yabai Yatsu 2nd Season</t>
  </si>
  <si>
    <t xml:space="preserve">Comedy, Romance, School, </t>
  </si>
  <si>
    <t>Mato Seihei no Slave</t>
  </si>
  <si>
    <t xml:space="preserve">Action, Fantasy, Ecchi, Harem, </t>
  </si>
  <si>
    <t>Seven Arcs</t>
  </si>
  <si>
    <t>Loop 7-kaime no Akuyaku Reijou wa, Moto Tekikoku de Jiyuu Kimama na Hanayome Seikatsu wo Mankitsu suru</t>
  </si>
  <si>
    <t>HORNETS, Studio KAI</t>
  </si>
  <si>
    <t>Dosanko Gal wa Namara Menkoi</t>
  </si>
  <si>
    <t>Blade, SILVER LINK.</t>
  </si>
  <si>
    <t>Akuyaku Reijou Level 99: Watashi wa Ura-Boss desu ga Maou dewa Arimasen</t>
  </si>
  <si>
    <t xml:space="preserve">Fantasy, Isekai, School, </t>
  </si>
  <si>
    <t>Jumondou</t>
  </si>
  <si>
    <t>Mahou Shoujo ni Akogarete</t>
  </si>
  <si>
    <t>Action, Comedy, Girls Love, Ecchi, Mahou Shoujo</t>
  </si>
  <si>
    <t>Sokushi Cheat ga Saikyou sugite, Isekai no Yatsura ga Marude Aite ni Naranai n desu ga.</t>
  </si>
  <si>
    <t>Action, Adventure, Comedy, Fantasy, Isekai, Parody</t>
  </si>
  <si>
    <t>Majo to Yajuu</t>
  </si>
  <si>
    <t xml:space="preserve">Action, Fantasy, , , </t>
  </si>
  <si>
    <t>Ao no Exorcist: Shimane Illuminati-hen</t>
  </si>
  <si>
    <t xml:space="preserve">Action, Supernatural, Mythology, School, </t>
  </si>
  <si>
    <t>Shin no Nakama ja Nai to Yuusha no Party wo Oidasareta node, Henkyou de Slow Life suru Koto ni Shimashita 2nd</t>
  </si>
  <si>
    <t>Kekkon Yubiwa Monogatari</t>
  </si>
  <si>
    <t xml:space="preserve">Action, Fantasy, Romance, Ecchi, Harem, Isekai, </t>
  </si>
  <si>
    <t>Saijaku Tamer wa Gomi Hiroi no Tabi wo Hajimemashita.</t>
  </si>
  <si>
    <t xml:space="preserve">Adventure, Fantasy, Crossdressing, , </t>
  </si>
  <si>
    <t>Studio Massket</t>
  </si>
  <si>
    <t>Ishura</t>
  </si>
  <si>
    <t>Action, Adventure, Fantasy, Gore, Isekai</t>
  </si>
  <si>
    <t>Passione</t>
  </si>
  <si>
    <t>Gekai Elise</t>
  </si>
  <si>
    <t xml:space="preserve">Fantasy, Romance, Medical, </t>
  </si>
  <si>
    <t>Metallic Rouge</t>
  </si>
  <si>
    <t>Bones</t>
  </si>
  <si>
    <t>Kyuujitsu no Warumono-san</t>
  </si>
  <si>
    <t xml:space="preserve">Fantasy, Slice of Life, , </t>
  </si>
  <si>
    <t>Shin-Ei Animation, SynergySP</t>
  </si>
  <si>
    <t>Isekai de Mofumofu Nadenade suru Tame ni Ganbattemasu.</t>
  </si>
  <si>
    <t>High Card Season 2</t>
  </si>
  <si>
    <t>Action, Fantasy, Organized Crime</t>
  </si>
  <si>
    <t>Studio Hibari</t>
  </si>
  <si>
    <t>Harimaware! Koinu</t>
  </si>
  <si>
    <t>Opera House</t>
  </si>
  <si>
    <t>Sousou no Frieren</t>
  </si>
  <si>
    <t>Adventure, Award Winning, Drama, Fantasy, Shounen</t>
  </si>
  <si>
    <t>Kusuriya no Hitorigoto</t>
  </si>
  <si>
    <t>Shangri-La Frontier: Kusoge Hunter, Kamige ni Idoman to su</t>
  </si>
  <si>
    <t>Undead Unluck</t>
  </si>
  <si>
    <t xml:space="preserve">Action, Comedy, Super Power, </t>
  </si>
  <si>
    <t>Ragna Crimson</t>
  </si>
  <si>
    <t>Dog Signal</t>
  </si>
  <si>
    <t xml:space="preserve">Slice of Life, Adult Cast, Pets, , </t>
  </si>
  <si>
    <t>Fugaku</t>
  </si>
  <si>
    <t>Aishang Ta de Liyou Extra</t>
  </si>
  <si>
    <t>Romance, Adult Cast</t>
  </si>
  <si>
    <t>MF Ghost Battle Digest</t>
  </si>
  <si>
    <t>Racing, Seinen</t>
  </si>
  <si>
    <t>Xiao Lu He Xiao Lan V: Mofa Pian</t>
  </si>
  <si>
    <t>Drama, Fantasy</t>
  </si>
  <si>
    <t>Lili Kurong</t>
  </si>
  <si>
    <t>Fantasy, Music</t>
  </si>
  <si>
    <t>Gear Studio</t>
  </si>
  <si>
    <t>Guonian Zhe Lianmeng: Xun Long Ji</t>
  </si>
  <si>
    <t>Comedy, Fantasy, Historical, Parody</t>
  </si>
  <si>
    <t>Kuang Wang</t>
  </si>
  <si>
    <t>Bridge: My Little Friends</t>
  </si>
  <si>
    <t>Fantasy, Pets</t>
  </si>
  <si>
    <t>Studio GOONEYS</t>
  </si>
  <si>
    <t>Holostars★Survival: Oretachi no Kaitaku Seikatsu</t>
  </si>
  <si>
    <t>Hololive Production</t>
  </si>
  <si>
    <t>Shenlong Xing Zhu</t>
  </si>
  <si>
    <t>SINoALICE: Ichiban Saigo no Monogatari</t>
  </si>
  <si>
    <t>Amedama</t>
  </si>
  <si>
    <t>DandeLion Animation Studio, Toei Animation</t>
  </si>
  <si>
    <t>Science SARU x MBS Original Short Anime Daisakusen!</t>
  </si>
  <si>
    <t>The iDOLM@STER Million Live!: The Backstage</t>
  </si>
  <si>
    <t>Idols (Female), Music</t>
  </si>
  <si>
    <t>Shirogumi</t>
  </si>
  <si>
    <t>[Oshi no Ko] 2nd Season</t>
  </si>
  <si>
    <t>Tokidoki Bosotto Russia-go de Dereru Tonari no Alya-san</t>
  </si>
  <si>
    <t>Make Heroine ga Oosugiru!</t>
  </si>
  <si>
    <t>Kami no Tou: Ouji no Kikan</t>
  </si>
  <si>
    <t>Action, Adventure, Drama, Fantasy, Mystery</t>
  </si>
  <si>
    <t>The Answer Studio</t>
  </si>
  <si>
    <t>Shikanoko Nokonoko Koshitantan</t>
  </si>
  <si>
    <t xml:space="preserve">Comedy, Gag Humor, School, </t>
  </si>
  <si>
    <t>Isekai Shikkaku</t>
  </si>
  <si>
    <t>Adventure, Comedy, Fantasy, Isekai, Parody</t>
  </si>
  <si>
    <t>Atelier Pontdarc</t>
  </si>
  <si>
    <t>Hazurewaku no "Joutai Ijou Skill" de Saikyou ni Natta Ore ga Subete wo Juurin suru made</t>
  </si>
  <si>
    <t>Giji Harem</t>
  </si>
  <si>
    <t>Nomad</t>
  </si>
  <si>
    <t>Ore wa Subete wo "Parry" suru: Gyaku Kanchigai no Sekai Saikyou wa Boukensha ni Naritai</t>
  </si>
  <si>
    <t>2.5-jigen no Ririsa</t>
  </si>
  <si>
    <t xml:space="preserve">Comedy, Ecchi, Harem, Otaku Culture, , </t>
  </si>
  <si>
    <t>Naze Boku no Sekai wo Daremo Oboeteinai no ka?</t>
  </si>
  <si>
    <t>Boku no Hero Academia 7th Season</t>
  </si>
  <si>
    <t>Tensei shitara Slime Datta Ken 3rd Season</t>
  </si>
  <si>
    <t>Ookami to Koushinryou: Merchant Meets the Wise Wolf</t>
  </si>
  <si>
    <t>Adventure, Drama, Romance, Supernatural, Adult Cast</t>
  </si>
  <si>
    <t>Koneko no Chi: Ponponraa Natsuyasumi</t>
  </si>
  <si>
    <t>Slice of Life, Pets</t>
  </si>
  <si>
    <t>Marza Animation Planet</t>
  </si>
  <si>
    <t>You Shou Yan 4th Season</t>
  </si>
  <si>
    <t>Fenz</t>
  </si>
  <si>
    <t>Liselotte no Wakuwaku Magical Shoukai</t>
  </si>
  <si>
    <t>Comedy, Fantasy, Isekai, Reincarnation</t>
  </si>
  <si>
    <t>Ling Wu Dalu</t>
  </si>
  <si>
    <t>Feng Ling Yu Xiu 2nd Season Special</t>
  </si>
  <si>
    <t>Action, Adventure, Martial Arts</t>
  </si>
  <si>
    <t>Sunflowers</t>
  </si>
  <si>
    <t>Zhui Xu 2nd Season</t>
  </si>
  <si>
    <t>Drama, Historical</t>
  </si>
  <si>
    <t>Oriental Creative Color</t>
  </si>
  <si>
    <t>Nian Wushuang</t>
  </si>
  <si>
    <t>Shixiong A Shixiong 3rd Season</t>
  </si>
  <si>
    <t>Tian Ying</t>
  </si>
  <si>
    <t>Action, Fantasy, Historical</t>
  </si>
  <si>
    <t>Borutong</t>
  </si>
  <si>
    <t>Wujin Shenyu</t>
  </si>
  <si>
    <t>Yishi Du Zun 2nd Season</t>
  </si>
  <si>
    <t>Jiu Wo</t>
  </si>
  <si>
    <t>Drama, Horror</t>
  </si>
  <si>
    <t>Nice Boat Animation</t>
  </si>
  <si>
    <t>New Jersey and Enterprise's Beach Vacation</t>
  </si>
  <si>
    <t>ARCUS</t>
  </si>
  <si>
    <t>San Shaonu</t>
  </si>
  <si>
    <t>Adventure, Fantasy, Historical</t>
  </si>
  <si>
    <t>Guton Animation Studio</t>
  </si>
  <si>
    <t>Kimetsu no Yaiba: Hashira Geiko-hen</t>
  </si>
  <si>
    <t xml:space="preserve">Action, Supernatural, Historical, </t>
  </si>
  <si>
    <t>Kaijuu 8-gou</t>
  </si>
  <si>
    <t>Mushoku Tensei II: Isekai Ittara Honki Dasu Part 2</t>
  </si>
  <si>
    <t xml:space="preserve">Adventure, Drama, Fantasy, Ecchi, Isekai, </t>
  </si>
  <si>
    <t>Studio Bind</t>
  </si>
  <si>
    <t>Kono Subarashii Sekai ni Shukufuku wo! 3</t>
  </si>
  <si>
    <t>Wind Breaker</t>
  </si>
  <si>
    <t>Tensei shitara Dainana Ouji Datta node, Kimama ni Majutsu wo Kiwamemasu</t>
  </si>
  <si>
    <t>Lv2 kara Cheat datta Motoyuusha Kouho no Mattari Isekai Life</t>
  </si>
  <si>
    <t>Adventure, Fantasy, Romance, Isekai</t>
  </si>
  <si>
    <t>Maou Gakuin no Futekigousha II: Shijou Saikyou no Maou no Shiso, Tensei shite Shison-tachi no Gakkou e Kayou Part 2</t>
  </si>
  <si>
    <t>Action, Fantasy, Reincarnation, School</t>
  </si>
  <si>
    <t>Tensei Kizoku, Kantei Skill de Nariagaru</t>
  </si>
  <si>
    <t>Re:Monster</t>
  </si>
  <si>
    <t xml:space="preserve">Action, Adventure, Fantasy, Isekai, </t>
  </si>
  <si>
    <t>Jiisan Baasan Wakagaeru</t>
  </si>
  <si>
    <t>Comedy, Romance, Supernatural</t>
  </si>
  <si>
    <t>Yoru no Kurage wa Oyogenai</t>
  </si>
  <si>
    <t>Drama, Music</t>
  </si>
  <si>
    <t>Kami wa Game ni Ueteiru.</t>
  </si>
  <si>
    <t xml:space="preserve">Fantasy, Suspense, High Stakes Game, </t>
  </si>
  <si>
    <t>Kenka Dokugaku</t>
  </si>
  <si>
    <t>Action, School</t>
  </si>
  <si>
    <t>Shibuya♡Hachi</t>
  </si>
  <si>
    <t>Nyaaaanvy</t>
  </si>
  <si>
    <t>Lesprit, Shin-Ei Animation</t>
  </si>
  <si>
    <t>You Shou Yan 3rd Season</t>
  </si>
  <si>
    <t>Hui Ming: Fenghuo San Yue</t>
  </si>
  <si>
    <t>Juan Siliang 2nd Season</t>
  </si>
  <si>
    <t>Wulifang, Year Young Culture</t>
  </si>
  <si>
    <t>San Xiu Zhi Wang</t>
  </si>
  <si>
    <t>Shen Zhi Yi Jiao</t>
  </si>
  <si>
    <t>Sports, Team Sports</t>
  </si>
  <si>
    <t>Wawayu Animation</t>
  </si>
  <si>
    <t>Xiaobing Chuanqi</t>
  </si>
  <si>
    <t>Jiandao Di Yi Xian 2nd Season</t>
  </si>
  <si>
    <t>Ludi Jian Xian</t>
  </si>
  <si>
    <t>Action, Comedy, Fantasy</t>
  </si>
  <si>
    <t>Fudanshi Shoukan: Isekai de Shinjuu ni Hameraremashita 7th Season</t>
  </si>
  <si>
    <t>Boys Love, Fantasy, Isekai</t>
  </si>
  <si>
    <t>Harinezumi no Luchika</t>
  </si>
  <si>
    <t>Fantasy, Slice of Life, Anthropomorphic, Iyashikei</t>
  </si>
  <si>
    <t>Fanworks</t>
  </si>
  <si>
    <t>Shi Dao Zhe</t>
  </si>
  <si>
    <t>Action, Fantasy, Military</t>
  </si>
  <si>
    <t>Gravity Well</t>
  </si>
  <si>
    <t>Look Back</t>
  </si>
  <si>
    <t xml:space="preserve">Award Winning, Drama, Otaku Culture, </t>
  </si>
  <si>
    <t>First Line</t>
  </si>
  <si>
    <t>TOHO animation STUDIO</t>
  </si>
  <si>
    <t>Shadowverse Flame: Seven Shadows-hen Recap</t>
  </si>
  <si>
    <t>Fantasy, Strategy Game</t>
  </si>
  <si>
    <t>Zexcs</t>
  </si>
  <si>
    <t>Shadowverse Flame: Arc-hen Recaps</t>
  </si>
  <si>
    <t>Dandadan</t>
  </si>
  <si>
    <t>Bleach: Sennen Kessen-hen - Soukoku-tan</t>
  </si>
  <si>
    <t>Action, Adventure, Supernatural, Shounen</t>
  </si>
  <si>
    <t>Pierrot Films</t>
  </si>
  <si>
    <t>Uzumaki</t>
  </si>
  <si>
    <t xml:space="preserve">Avant Garde, Drama, Horror, Suspense, Psychological, </t>
  </si>
  <si>
    <t>Akatsuki, Fugaku</t>
  </si>
  <si>
    <t>Seirei Gensouki 2</t>
  </si>
  <si>
    <t xml:space="preserve">Action, Adventure, Fantasy, Romance, Harem, Isekai, </t>
  </si>
  <si>
    <t>Ranma ½ (2024)</t>
  </si>
  <si>
    <t xml:space="preserve">Action, Comedy, Romance, Ecchi, Magical Sex Shift, , , </t>
  </si>
  <si>
    <t>Nageki no Bourei wa Intai shitai</t>
  </si>
  <si>
    <t>Zero-G</t>
  </si>
  <si>
    <t>Raise wa Tanin ga Ii</t>
  </si>
  <si>
    <t xml:space="preserve">Romance, Organized Crime, </t>
  </si>
  <si>
    <t>Kami no Tou: Koubou-sen</t>
  </si>
  <si>
    <t>Kekkon suru tte, Hontou desu ka</t>
  </si>
  <si>
    <t xml:space="preserve">Romance, Adult Cast, , </t>
  </si>
  <si>
    <t>Kamierabi 2nd Season</t>
  </si>
  <si>
    <t>Unend</t>
  </si>
  <si>
    <t>Wan Jie Du Zun 3rd Season</t>
  </si>
  <si>
    <t>Dushi Gu Xian Yi</t>
  </si>
  <si>
    <t xml:space="preserve">Action, Adventure, Fantasy, Sci-Fi, Martial Arts, , </t>
  </si>
  <si>
    <t>Zongmen Li Chule Wo Dou Shi Wodi</t>
  </si>
  <si>
    <t>Action, Fantasy, Historical, Isekai</t>
  </si>
  <si>
    <t>Tudi Ge Ge Shi Da Lao</t>
  </si>
  <si>
    <t>Shuiniu Dongman</t>
  </si>
  <si>
    <t>Hu He Yao Shi Lu</t>
  </si>
  <si>
    <t>Naoe-kun wa Yasesasetai. (ONA)</t>
  </si>
  <si>
    <t>Wo Neng Wuxian Dunwu</t>
  </si>
  <si>
    <t>Tianshi Wenhua</t>
  </si>
  <si>
    <t>Wangu Zui Qiang Zong</t>
  </si>
  <si>
    <t>Adventure, Comedy, Fantasy, Historical</t>
  </si>
  <si>
    <t>Nintama Rantarou Movie: Dokutake Ninja Tai Saikyou no Gunshi</t>
  </si>
  <si>
    <t>Comedy, Historical</t>
  </si>
  <si>
    <t>Kidou Senshi Gundam: ALC Encounter</t>
  </si>
  <si>
    <t>Vinland Saga Season 2</t>
  </si>
  <si>
    <t xml:space="preserve">Action, Adventure, Drama, Gore, Historical, </t>
  </si>
  <si>
    <t>Tomo-chan wa Onnanoko!</t>
  </si>
  <si>
    <t>Otonari no Tenshi-sama ni Itsunomanika Dame Ningen ni Sareteita Ken</t>
  </si>
  <si>
    <t>Tokyo Revengers: Seiya Kessen-hen</t>
  </si>
  <si>
    <t xml:space="preserve">Action, Drama, Delinquents, Time Travel, </t>
  </si>
  <si>
    <t>Maou Gakuin no Futekigousha II: Shijou Saikyou no Maou no Shiso, Tensei shite Shison-tachi no Gakkou e Kayou</t>
  </si>
  <si>
    <t xml:space="preserve">Action, Fantasy, Reincarnation, </t>
  </si>
  <si>
    <t>Bungou Stray Dogs 4th Season</t>
  </si>
  <si>
    <t xml:space="preserve">Action, Mystery, Adult Cast, , , , </t>
  </si>
  <si>
    <t>Buddy Daddies</t>
  </si>
  <si>
    <t xml:space="preserve">Action, Comedy, Childcare, </t>
  </si>
  <si>
    <t>NieR:Automata Ver1.1a</t>
  </si>
  <si>
    <t>Tondemo Skill de Isekai Hourou Meshi</t>
  </si>
  <si>
    <t>Ijiranaide, Nagatoro-san 2nd Attack</t>
  </si>
  <si>
    <t xml:space="preserve">Comedy, Romance, Love Status Quo, </t>
  </si>
  <si>
    <t>Dungeon ni Deai wo Motomeru no wa Machigatteiru Darou ka IV: Shin Shou - Yakusai-hen</t>
  </si>
  <si>
    <t>Itai no wa Iya nanode Bougyoryoku ni Kyokufuri Shitai to Omoimasu. 2</t>
  </si>
  <si>
    <t>Action, Adventure, Comedy, Fantasy, Video Game</t>
  </si>
  <si>
    <t>Kubo-san wa Mob wo Yurusanai</t>
  </si>
  <si>
    <t>PINE JAM</t>
  </si>
  <si>
    <t>Trigun Stampede</t>
  </si>
  <si>
    <t>Tensei Oujo to Tensai Reijou no Mahou Kakumei</t>
  </si>
  <si>
    <t xml:space="preserve">Fantasy, Girls Love, Isekai, </t>
  </si>
  <si>
    <t>Benriya Saitou-san, Isekai ni Iku</t>
  </si>
  <si>
    <t>Kyokou Suiri Season 2</t>
  </si>
  <si>
    <t xml:space="preserve">Mystery, Romance, Supernatural, Adult Cast, , </t>
  </si>
  <si>
    <t>Eiyuuou, Bu wo Kiwameru Tame Tenseisu: Soshite, Sekai Saikyou no Minarai Kishi♀</t>
  </si>
  <si>
    <t>Action, Fantasy, Reincarnation</t>
  </si>
  <si>
    <t>Sugar Apple Fairy Tale</t>
  </si>
  <si>
    <t>Adventure, Drama, Fantasy, Romance, Visual Arts</t>
  </si>
  <si>
    <t>Kami-tachi ni Hirowareta Otoko 2nd Season</t>
  </si>
  <si>
    <t xml:space="preserve">Fantasy, Slice of Life, Isekai, Iyashikei, </t>
  </si>
  <si>
    <t>Boruto: Naruto Next Generations</t>
  </si>
  <si>
    <t xml:space="preserve">Action, Adventure, Fantasy, Martial Arts, </t>
  </si>
  <si>
    <t>Studio Pierrot</t>
  </si>
  <si>
    <t>Blue Lock</t>
  </si>
  <si>
    <t xml:space="preserve">Sports, Team Sports, </t>
  </si>
  <si>
    <t>Kage no Jitsuryokusha ni Naritakute!</t>
  </si>
  <si>
    <t xml:space="preserve">Action, Comedy, Fantasy, Isekai, </t>
  </si>
  <si>
    <t>Nexus</t>
  </si>
  <si>
    <t>Boku no Hero Academia 6th Season</t>
  </si>
  <si>
    <t>Isekai Ojisan</t>
  </si>
  <si>
    <t xml:space="preserve">Comedy, Fantasy, Adult Cast, Isekai, </t>
  </si>
  <si>
    <t>Fumetsu no Anata e Season 2</t>
  </si>
  <si>
    <t>Cool Doji Danshi</t>
  </si>
  <si>
    <t>Slice of Life, Adult Cast, Iyashikei</t>
  </si>
  <si>
    <t>Fate/Grand Order: Fujimaru Ritsuka wa Wakaranai</t>
  </si>
  <si>
    <t>Hua Jianghu: Bu Liang Ren VI</t>
  </si>
  <si>
    <t>Action, Drama, Fantasy, Romance, Historical, Martial Arts</t>
  </si>
  <si>
    <t>Rocen</t>
  </si>
  <si>
    <t>Jiuzhou Piaomiao Lu</t>
  </si>
  <si>
    <t>Action, Drama, Fantasy</t>
  </si>
  <si>
    <t>Tsuru ga Mau Yoru ni</t>
  </si>
  <si>
    <t>Noovo, pH Studio</t>
  </si>
  <si>
    <t>Xi Xing Ji: Anying Mo Cheng</t>
  </si>
  <si>
    <t>Moshi Meta: Moshi Joshikousei ga Metaverse de Miko ni Nattara</t>
  </si>
  <si>
    <t>Sci-Fi, Time Travel, Video Game</t>
  </si>
  <si>
    <t>Studio Elle</t>
  </si>
  <si>
    <t>Wander Burabura Bakkamu</t>
  </si>
  <si>
    <t>Drama, Sci-Fi</t>
  </si>
  <si>
    <t>Echoes</t>
  </si>
  <si>
    <t>Mushoku Tensei II: Isekai Ittara Honki Dasu</t>
  </si>
  <si>
    <t>Zom 100: Zombie ni Naru made ni Shitai 100 no Koto</t>
  </si>
  <si>
    <t xml:space="preserve">Comedy, Suspense, Adult Cast, Survival, </t>
  </si>
  <si>
    <t>BUG FILMS</t>
  </si>
  <si>
    <t>Bleach: Sennen Kessen-hen - Ketsubetsu-tan</t>
  </si>
  <si>
    <t>Watashi no Shiawase na Kekkon</t>
  </si>
  <si>
    <t>Masamune-kun no Revenge R</t>
  </si>
  <si>
    <t>Kanojo, Okarishimasu 3rd Season</t>
  </si>
  <si>
    <t>Undead Girl Murder Farce</t>
  </si>
  <si>
    <t xml:space="preserve">Fantasy, Mystery, Adult Cast, , , , </t>
  </si>
  <si>
    <t>Lapin Track</t>
  </si>
  <si>
    <t>Hataraku Maou-sama!! 2nd Season</t>
  </si>
  <si>
    <t>Comedy, Supernatural</t>
  </si>
  <si>
    <t>Studio 3Hz</t>
  </si>
  <si>
    <t>Higeki no Genkyou to Naru Saikyou Gedou Last Boss Joou wa Tami no Tame ni Tsukushimasu.</t>
  </si>
  <si>
    <t xml:space="preserve">Fantasy, Isekai, Villainess, </t>
  </si>
  <si>
    <t>Temple</t>
  </si>
  <si>
    <t>Comedy, Romance, Ecchi, Harem</t>
  </si>
  <si>
    <t>Shinigami Bocchan to Kuro Maid 2nd Season</t>
  </si>
  <si>
    <t>Comedy, Fantasy, Romance, Love Status Quo</t>
  </si>
  <si>
    <t>Shiguang Dailiren II</t>
  </si>
  <si>
    <t xml:space="preserve">Drama, Mystery, Suspense, Adult Cast, Super Power, </t>
  </si>
  <si>
    <t>LAN Studio</t>
  </si>
  <si>
    <t>Tonikaku Kawaii: Joshikou-hen</t>
  </si>
  <si>
    <t>Comedy, Romance, Shounen</t>
  </si>
  <si>
    <t>Xiao Lu He Xiao Lan III: Mo Wang Pian</t>
  </si>
  <si>
    <t>Boys Love, Comedy, Drama, Fantasy</t>
  </si>
  <si>
    <t>Shi Fang Jian Sheng</t>
  </si>
  <si>
    <t>Action, Adventure, Fantasy, Martial Arts</t>
  </si>
  <si>
    <t>Cloud Culture</t>
  </si>
  <si>
    <t>Eldraine no Mori: Twin Fates</t>
  </si>
  <si>
    <t>Qzil.la, S.o.K</t>
  </si>
  <si>
    <t>Wu Ying Sanqian Dao 2nd Season</t>
  </si>
  <si>
    <t>Action, Adventure, Comedy, Fantasy, Historical, Martial Arts</t>
  </si>
  <si>
    <t>Synduality: Kagaku Kouza</t>
  </si>
  <si>
    <t>Studio PuYUKAI</t>
  </si>
  <si>
    <t>Guaishou Xiao Guan</t>
  </si>
  <si>
    <t>Comedy, Gourmet</t>
  </si>
  <si>
    <t>Shykeumo Animation Studio</t>
  </si>
  <si>
    <t>Mo Zhuang Chuanshuo</t>
  </si>
  <si>
    <t>Jinyi Shen Jiang</t>
  </si>
  <si>
    <t>Yi Chen Animation</t>
  </si>
  <si>
    <t>Azur Lane 5th Anniversary: The Best Gift From Enterprise</t>
  </si>
  <si>
    <t>Yostar Pictures</t>
  </si>
  <si>
    <t>Mushoku Tensei II: Isekai Ittara Honki Dasu - Shugo Jutsushi Fitz</t>
  </si>
  <si>
    <t>[Oshi no Ko]</t>
  </si>
  <si>
    <t xml:space="preserve">Award Winning, Drama, Reincarnation, , </t>
  </si>
  <si>
    <t>Jigokuraku</t>
  </si>
  <si>
    <t>Mashle</t>
  </si>
  <si>
    <t>Tengoku Daimakyou</t>
  </si>
  <si>
    <t>Adventure, Mystery, Sci-Fi, Seinen</t>
  </si>
  <si>
    <t>Dr. Stone: New World</t>
  </si>
  <si>
    <t>Yamada-kun to Lv999 no Koi wo Suru</t>
  </si>
  <si>
    <t>Romance, Video Game</t>
  </si>
  <si>
    <t>Boku no Kokoro no Yabai Yatsu</t>
  </si>
  <si>
    <t>Kono Subarashii Sekai ni Bakuen wo!</t>
  </si>
  <si>
    <t>Isekai de Cheat Skill wo Te ni Shita Ore wa, Genjitsu Sekai wo mo Musou Suru: Level Up wa Jinsei wo Kaeta</t>
  </si>
  <si>
    <t>Skip to Loafer</t>
  </si>
  <si>
    <t xml:space="preserve">Drama, School, </t>
  </si>
  <si>
    <t>Kimi wa Houkago Insomnia</t>
  </si>
  <si>
    <t>Mahoutsukai no Yome Season 2</t>
  </si>
  <si>
    <t xml:space="preserve">Drama, Fantasy, Romance, Mythology, School, , </t>
  </si>
  <si>
    <t>Studio Kafka</t>
  </si>
  <si>
    <t>Kanojo ga Koushaku-tei ni Itta Riyuu</t>
  </si>
  <si>
    <t xml:space="preserve">Fantasy, Romance, Isekai, </t>
  </si>
  <si>
    <t>Isekai wa Smartphone to Tomo ni. 2</t>
  </si>
  <si>
    <t>Adventure, Comedy, Fantasy, Romance, Harem, Isekai</t>
  </si>
  <si>
    <t>Megami no Café Terrace</t>
  </si>
  <si>
    <t xml:space="preserve">Comedy, Romance, Ecchi, Adult Cast, Harem, , </t>
  </si>
  <si>
    <t>Tezuka Productions</t>
  </si>
  <si>
    <t>Ousama Ranking: Yuuki no Takarabako</t>
  </si>
  <si>
    <t>Yuusha ga Shinda!</t>
  </si>
  <si>
    <t>Action, Comedy, Fantasy, Ecchi, Harem, Parody</t>
  </si>
  <si>
    <t>YouTuNya</t>
  </si>
  <si>
    <t>Genjitsu no Rimuru: Sunshine in the Slime</t>
  </si>
  <si>
    <t>Comedy, Fantasy, Isekai</t>
  </si>
  <si>
    <t>Qing Lian Jian Xian Zhuan</t>
  </si>
  <si>
    <t>Jiu Tian Xuan Di Jue 4th Season</t>
  </si>
  <si>
    <t>Action, Adventure, Fantasy, Martial Arts, Mythology</t>
  </si>
  <si>
    <t>Fudanshi Shoukan: Isekai de Shinjuu ni Hameraremashita 5th Season</t>
  </si>
  <si>
    <t>Black Clover: Mahou Tei no Ken</t>
  </si>
  <si>
    <t>Action, Comedy, Fantasy, Shounen</t>
  </si>
  <si>
    <t>Shin Shinka no Mi Gekijou Special</t>
  </si>
  <si>
    <t>Spy x Family Season 2</t>
  </si>
  <si>
    <t>Kage no Jitsuryokusha ni Naritakute! 2nd Season</t>
  </si>
  <si>
    <t>Tate no Yuusha no Nariagari Season 3</t>
  </si>
  <si>
    <t>Dr. Stone: New World Part 2</t>
  </si>
  <si>
    <t>Goblin Slayer II</t>
  </si>
  <si>
    <t>Action, Adventure, Fantasy, Gore</t>
  </si>
  <si>
    <t>Kimi no Koto ga Daidaidaidaidaisuki na 100-nin no Kanojo</t>
  </si>
  <si>
    <t>Tokyo Revengers: Tenjiku-hen</t>
  </si>
  <si>
    <t>Boushoku no Berserk</t>
  </si>
  <si>
    <t>Keikenzumi na Kimi to, Keiken Zero na Ore ga, Otsukiai suru Hanashi.</t>
  </si>
  <si>
    <t>Seiken Gakuin no Makentsukai</t>
  </si>
  <si>
    <t xml:space="preserve">Action, Fantasy, Harem, , </t>
  </si>
  <si>
    <t>Saihate no Paladin: Tetsusabi no Yama no Ou</t>
  </si>
  <si>
    <t>Action, Adventure, Fantasy, Isekai, Reincarnation</t>
  </si>
  <si>
    <t>OLM, Sunrise Beyond</t>
  </si>
  <si>
    <t>Pluto</t>
  </si>
  <si>
    <t xml:space="preserve">Action, Mystery, Sci-Fi, Suspense, Detective, , </t>
  </si>
  <si>
    <t>Studio M2</t>
  </si>
  <si>
    <t>Zaiyuki Pilot</t>
  </si>
  <si>
    <t>Village Studio</t>
  </si>
  <si>
    <t>Xiao Lu He Xiao Lan IV: Mofa Pian</t>
  </si>
  <si>
    <t>Shaonian Ge Xing: Haiwai Xianshan Pian</t>
  </si>
  <si>
    <t>Shen Cang</t>
  </si>
  <si>
    <t>Dancing CG Studio</t>
  </si>
  <si>
    <t>Shenyuan Youxi</t>
  </si>
  <si>
    <t>ORCEN</t>
  </si>
  <si>
    <t>Bokura no Ame-iro Protocol Mini Anime</t>
  </si>
  <si>
    <t>Comedy, Video Game</t>
  </si>
  <si>
    <t>Otome Game no Hametsu Flag shika Nai Akuyaku Reijou ni Tensei shiteshimatta... Movie Honpen Mae Special Eizou</t>
  </si>
  <si>
    <t>Sanshiliu Qi</t>
  </si>
  <si>
    <t>Action, Drama, Historical, Martial Arts</t>
  </si>
  <si>
    <t>Hua Jianghu: Tiangang</t>
  </si>
  <si>
    <t>Quan Zhi Ming</t>
  </si>
  <si>
    <t>TRCARTOON</t>
  </si>
  <si>
    <t>Spy x Family Movie: Code: White</t>
  </si>
  <si>
    <t>Kimetsu no Yaiba: Yuukaku-hen</t>
  </si>
  <si>
    <t>Shingeki no Kyojin: The Final Season Part 2</t>
  </si>
  <si>
    <t xml:space="preserve">Action, Drama, Suspense, Gore, Military, , </t>
  </si>
  <si>
    <t>Sono Bisque Doll wa Koi wo Suru</t>
  </si>
  <si>
    <t>Arifureta Shokugyou de Sekai Saikyou 2nd Season</t>
  </si>
  <si>
    <t>asread., studio MOTHER</t>
  </si>
  <si>
    <t>Vanitas no Karte Part 2</t>
  </si>
  <si>
    <t xml:space="preserve">Action, Fantasy, Mystery, Historical, Urban Fantasy, , </t>
  </si>
  <si>
    <t>Shikkakumon no Saikyou Kenja</t>
  </si>
  <si>
    <t>Sabikui Bisco</t>
  </si>
  <si>
    <t>OZ</t>
  </si>
  <si>
    <t>Sasaki to Miyano</t>
  </si>
  <si>
    <t xml:space="preserve">Boys Love, Otaku Culture, </t>
  </si>
  <si>
    <t>Akebi-chan no Sailor-fuku</t>
  </si>
  <si>
    <t xml:space="preserve">Slice of Life, CGDCT, School, </t>
  </si>
  <si>
    <t>Karakai Jouzu no Takagi-san 3</t>
  </si>
  <si>
    <t>Orient</t>
  </si>
  <si>
    <t xml:space="preserve">Action, Adventure, Fantasy, Historical, Samurai, </t>
  </si>
  <si>
    <t>Ousama Ranking</t>
  </si>
  <si>
    <t>86 Part 2</t>
  </si>
  <si>
    <t>Drama, Sci-Fi, Mecha, Military</t>
  </si>
  <si>
    <t>Platinum End</t>
  </si>
  <si>
    <t xml:space="preserve">Drama, Supernatural, Suspense, Mythology, , , </t>
  </si>
  <si>
    <t>Shaman King (2021)</t>
  </si>
  <si>
    <t>Kotarou wa Hitorigurashi</t>
  </si>
  <si>
    <t xml:space="preserve">Slice of Life, Childcare, </t>
  </si>
  <si>
    <t>Uchuu Camper Chicchi</t>
  </si>
  <si>
    <t>Production +h.</t>
  </si>
  <si>
    <t>SpoGomi: World Cup Exhibition Match-hen</t>
  </si>
  <si>
    <t>Sports</t>
  </si>
  <si>
    <t>AION Studio</t>
  </si>
  <si>
    <t>Tenjin</t>
  </si>
  <si>
    <t>Adventure</t>
  </si>
  <si>
    <t>Imagica Digitalscape</t>
  </si>
  <si>
    <t>Zhen Dao Ge: Chenshi Hang</t>
  </si>
  <si>
    <t>Infinity Animations</t>
  </si>
  <si>
    <t>Inzai Aru Aru Monogatari</t>
  </si>
  <si>
    <t>asurafilm</t>
  </si>
  <si>
    <t>Mao Zhi Ming Specials</t>
  </si>
  <si>
    <t>Ore, Tsushima x Na Mo Naki Nezumi</t>
  </si>
  <si>
    <t>Comedy, Pets</t>
  </si>
  <si>
    <t>Youkoso Jitsuryoku Shijou Shugi no Kyoushitsu e 2nd Season</t>
  </si>
  <si>
    <t xml:space="preserve">Drama, Suspense, Psychological, </t>
  </si>
  <si>
    <t>Yofukashi no Uta</t>
  </si>
  <si>
    <t>Overlord IV</t>
  </si>
  <si>
    <t>Lycoris Recoil</t>
  </si>
  <si>
    <t>Made in Abyss: Retsujitsu no Ougonkyou</t>
  </si>
  <si>
    <t>Adventure, Drama, Fantasy, Mystery, Sci-Fi, Gore</t>
  </si>
  <si>
    <t>Hataraku Maou-sama!!</t>
  </si>
  <si>
    <t>Kanojo, Okarishimasu 2nd Season</t>
  </si>
  <si>
    <t>Dungeon ni Deai wo Motomeru no wa Machigatteiru Darou ka IV: Shin Shou - Meikyuu-hen</t>
  </si>
  <si>
    <t>Isekai Yakkyoku</t>
  </si>
  <si>
    <t xml:space="preserve">Fantasy, Isekai, Medical, </t>
  </si>
  <si>
    <t>Kumichou Musume to Sewagakari</t>
  </si>
  <si>
    <t>feel., Gaina</t>
  </si>
  <si>
    <t>Tensei Kenja no Isekai Life: Dai-2 no Shokugyou wo Ete, Sekai Saikyou ni Narimashita</t>
  </si>
  <si>
    <t>Revoroot</t>
  </si>
  <si>
    <t>Shadows House 2nd Season</t>
  </si>
  <si>
    <t>Fantasy, Mystery, Seinen</t>
  </si>
  <si>
    <t>JoJo no Kimyou na Bouken Part 6: Stone Ocean Part 2</t>
  </si>
  <si>
    <t xml:space="preserve">Action, Adventure, Super Power, </t>
  </si>
  <si>
    <t>Yi Nian Yong Heng 2nd Season</t>
  </si>
  <si>
    <t>Zhu Xian</t>
  </si>
  <si>
    <t>Li Ba Shanhe Xi Zitang</t>
  </si>
  <si>
    <t>Action, Fantasy, Historical, Martial Arts</t>
  </si>
  <si>
    <t>Aurora Animation</t>
  </si>
  <si>
    <t>MyGO!!!!! Member no Nichijou</t>
  </si>
  <si>
    <t>Xi Xing Ji: Qiong Qi Didong</t>
  </si>
  <si>
    <t>Anata no France wa Donna Tokoro?</t>
  </si>
  <si>
    <t>Studio Daisy</t>
  </si>
  <si>
    <t>Midnight Grand Mos Burger</t>
  </si>
  <si>
    <t>Action, Gourmet, Sci-Fi, Music</t>
  </si>
  <si>
    <t>CHOCOLATE, YURUPPE Inc.</t>
  </si>
  <si>
    <t>Natsu e no Tunnel, Sayonara no Deguchi</t>
  </si>
  <si>
    <t>Drama, Mystery, Romance, Supernatural</t>
  </si>
  <si>
    <t>CLAP</t>
  </si>
  <si>
    <t>Dr. Stone: Ryuusui</t>
  </si>
  <si>
    <t>Shadowverse Flame Recaps</t>
  </si>
  <si>
    <t>Spy x Family</t>
  </si>
  <si>
    <t xml:space="preserve">Action, Award Winning, Comedy, , , </t>
  </si>
  <si>
    <t>Tate no Yuusha no Nariagari Season 2</t>
  </si>
  <si>
    <t xml:space="preserve">Action, Adventure, Drama, Fantasy, </t>
  </si>
  <si>
    <t>DR Movie, Kinema Citrus</t>
  </si>
  <si>
    <t>Komi-san wa, Comyushou desu. 2nd Season</t>
  </si>
  <si>
    <t>Tomodachi Game</t>
  </si>
  <si>
    <t xml:space="preserve">Suspense, High Stakes Game, , , </t>
  </si>
  <si>
    <t>Aharen-san wa Hakarenai</t>
  </si>
  <si>
    <t>Gaikotsu Kishi-sama, Tadaima Isekai e Odekakechuu</t>
  </si>
  <si>
    <t>Yuusha, Yamemasu</t>
  </si>
  <si>
    <t>Shijou Saikyou no Daimaou, Murabito A ni Tensei suru</t>
  </si>
  <si>
    <t>Paripi Koumei</t>
  </si>
  <si>
    <t xml:space="preserve">Comedy, Adult Cast, Music, , </t>
  </si>
  <si>
    <t>Date A Live IV</t>
  </si>
  <si>
    <t xml:space="preserve">Action, Fantasy, Romance, Sci-Fi, Harem, School, </t>
  </si>
  <si>
    <t>Geek Toys</t>
  </si>
  <si>
    <t>Xinghe Zhizun 2nd Season</t>
  </si>
  <si>
    <t>Xiaoke de Huatu Xie Hua Specials</t>
  </si>
  <si>
    <t>Gravity Well, Windy Studio</t>
  </si>
  <si>
    <t>Jewelpet: Attack Travel!</t>
  </si>
  <si>
    <t>Shaonian Ge Xing: Feng Hua Xue Yue Pian Special</t>
  </si>
  <si>
    <t>Rebirth: Yuu vs. Great-O-Khan</t>
  </si>
  <si>
    <t>Comedy, Sports, Strategy Game</t>
  </si>
  <si>
    <t>5-toubun no Hanayome Movie</t>
  </si>
  <si>
    <t xml:space="preserve">Comedy, Romance, , , </t>
  </si>
  <si>
    <t>Usagi (Special)</t>
  </si>
  <si>
    <t>DEathMAtCH: Real ni Koishiteru</t>
  </si>
  <si>
    <t>Action, Comedy, Sci-Fi</t>
  </si>
  <si>
    <t>Mob Psycho 100 III</t>
  </si>
  <si>
    <t>Action, Comedy, Supernatural</t>
  </si>
  <si>
    <t>Bocchi the Rock!</t>
  </si>
  <si>
    <t>Comedy, CGDCT, Music</t>
  </si>
  <si>
    <t>Bleach: Sennen Kessen-hen</t>
  </si>
  <si>
    <t>Uzaki-chan wa Asobitai! Double</t>
  </si>
  <si>
    <t>Comedy, Romance, Adult Cast, Love Status Quo</t>
  </si>
  <si>
    <t>JoJo no Kimyou na Bouken Part 6: Stone Ocean Part 3</t>
  </si>
  <si>
    <t>Suzume no Tojimari</t>
  </si>
  <si>
    <t>Adventure, Supernatural, Mythology</t>
  </si>
  <si>
    <t>CoMix Wave Films</t>
  </si>
  <si>
    <t>Fresh Peach</t>
  </si>
  <si>
    <t>Yamiken</t>
  </si>
  <si>
    <t>Shingeki no Kyojin: The Final Season</t>
  </si>
  <si>
    <t>Horimiya</t>
  </si>
  <si>
    <t>Dr. Stone: Stone Wars</t>
  </si>
  <si>
    <t>Yakusoku no Neverland 2nd Season</t>
  </si>
  <si>
    <t xml:space="preserve">Mystery, Suspense, Psychological, , </t>
  </si>
  <si>
    <t>Wonder Egg Priority</t>
  </si>
  <si>
    <t>Drama, Supernatural, Suspense, Psychological</t>
  </si>
  <si>
    <t>5-toubun no Hanayome ∬</t>
  </si>
  <si>
    <t>SK∞</t>
  </si>
  <si>
    <t>Sports, Racing</t>
  </si>
  <si>
    <t>Kumo desu ga, Nani ka?</t>
  </si>
  <si>
    <t>Beastars 2nd Season</t>
  </si>
  <si>
    <t xml:space="preserve">Drama, Suspense, Anthropomorphic, , , </t>
  </si>
  <si>
    <t>Nanatsu no Taizai: Funnu no Shinpan</t>
  </si>
  <si>
    <t>Jaku-Chara Tomozaki-kun</t>
  </si>
  <si>
    <t>Ore dake Haireru Kakushi Dungeon</t>
  </si>
  <si>
    <t>Action, Adventure, Fantasy, Ecchi, Harem</t>
  </si>
  <si>
    <t>Kemono Jihen</t>
  </si>
  <si>
    <t xml:space="preserve">Action, Mystery, Supernatural, Detective, , </t>
  </si>
  <si>
    <t>Tatoeba Last Dungeon Mae no Mura no Shounen ga Joban no Machi de Kurasu Youna Monogatari</t>
  </si>
  <si>
    <t>Hataraku Saibou!!</t>
  </si>
  <si>
    <t xml:space="preserve">Comedy, Anthropomorphic, , , </t>
  </si>
  <si>
    <t>Yuru Camp△ Season 2</t>
  </si>
  <si>
    <t>Slice of Life, CGDCT, Iyashikei</t>
  </si>
  <si>
    <t>C-Station</t>
  </si>
  <si>
    <t>Jujutsu Kaisen</t>
  </si>
  <si>
    <t xml:space="preserve">Action, Award Winning, Supernatural, School, </t>
  </si>
  <si>
    <t>Higurashi no Naku Koro ni Gou</t>
  </si>
  <si>
    <t>Horror, Mystery, Suspense, Gore, Psychological</t>
  </si>
  <si>
    <t>Tenkuu Shinpan</t>
  </si>
  <si>
    <t>Action, Horror, Mystery, Suspense, Gore, Survival</t>
  </si>
  <si>
    <t>Shouxi Yu Ling Shi 2</t>
  </si>
  <si>
    <t>Deliver Police: Nishitokyo-shi Deliver Keisatsutai</t>
  </si>
  <si>
    <t>IMAGICA Lab.</t>
  </si>
  <si>
    <t>Oshiete Hokusai! The Animation</t>
  </si>
  <si>
    <t>Fantasy, Slice of Life, Visual Arts</t>
  </si>
  <si>
    <t>Shichigahama de Mitsuketa</t>
  </si>
  <si>
    <t>Jichitai Anime</t>
  </si>
  <si>
    <t>Gudetama: Muhou Chitai de Jiyuu mo Fujiyuu</t>
  </si>
  <si>
    <t>Gathering</t>
  </si>
  <si>
    <t>Rakka-sei</t>
  </si>
  <si>
    <t>Supernatural, Music</t>
  </si>
  <si>
    <t>Flat Studio</t>
  </si>
  <si>
    <t>Koi wa 1-nichi ni Shite Narazu</t>
  </si>
  <si>
    <t>23-ji no Saga Meshi Anime</t>
  </si>
  <si>
    <t>Gourmet</t>
  </si>
  <si>
    <t>Tasuuketsu: Judgement Assizes</t>
  </si>
  <si>
    <t>Action, Drama, Suspense, Psychological, Super Power</t>
  </si>
  <si>
    <t>Tensei shitara Slime Datta Ken 2nd Season Part 2</t>
  </si>
  <si>
    <t>Kobayashi-san Chi no Maid Dragon S</t>
  </si>
  <si>
    <t>Slice of Life, Supernatural</t>
  </si>
  <si>
    <t>Kyoto Animation</t>
  </si>
  <si>
    <t>Seirei Gensouki</t>
  </si>
  <si>
    <t>Kanojo mo Kanojo</t>
  </si>
  <si>
    <t>Tantei wa Mou, Shindeiru.</t>
  </si>
  <si>
    <t>Comedy, Mystery, Romance, Detective</t>
  </si>
  <si>
    <t>Bokutachi no Remake</t>
  </si>
  <si>
    <t>Drama, Romance, Adult Cast, Time Travel</t>
  </si>
  <si>
    <t>Shinigami Bocchan to Kuro Maid</t>
  </si>
  <si>
    <t>Meikyuu Black Company</t>
  </si>
  <si>
    <t>Heion Sedai no Idaten-tachi</t>
  </si>
  <si>
    <t>Action, Adventure, Fantasy, Seinen</t>
  </si>
  <si>
    <t>Peach Boy Riverside</t>
  </si>
  <si>
    <t xml:space="preserve">Action, Adventure, Fantasy, Gore, </t>
  </si>
  <si>
    <t>Fumetsu no Anata e</t>
  </si>
  <si>
    <t>Mairimashita! Iruma-kun 2nd Season</t>
  </si>
  <si>
    <t>Chunqiu Feng Shen</t>
  </si>
  <si>
    <t>Shabake (ONA)</t>
  </si>
  <si>
    <t>Fantasy, Historical, Mythology</t>
  </si>
  <si>
    <t>Shuka</t>
  </si>
  <si>
    <t>Xian Yu Ge</t>
  </si>
  <si>
    <t>717 Animation Studio</t>
  </si>
  <si>
    <t>A Qi Aoyou Ji</t>
  </si>
  <si>
    <t>Adventure, Comedy</t>
  </si>
  <si>
    <t>Sharefun Studio</t>
  </si>
  <si>
    <t>Sou Xuan Lu Zhi Chen Ling Ji</t>
  </si>
  <si>
    <t>SJYNEXCUS</t>
  </si>
  <si>
    <t>Tesla Note: Mickey to Oliver no Agent Yousei Kouza</t>
  </si>
  <si>
    <t>Gambit</t>
  </si>
  <si>
    <t>Youxia Zhanji</t>
  </si>
  <si>
    <t>Tong Mingxuan Studio</t>
  </si>
  <si>
    <t>Fire Emblem Heroes: Chibi Playhouse</t>
  </si>
  <si>
    <t>Comedy, Fantasy, Parody</t>
  </si>
  <si>
    <t>Volca</t>
  </si>
  <si>
    <t>Azur Lane 3rd Anniversary: Stars of the Port</t>
  </si>
  <si>
    <t>Cider no You ni Kotoba ga Wakiagaru</t>
  </si>
  <si>
    <t xml:space="preserve">Romance, </t>
  </si>
  <si>
    <t>Signal.MD, Sublimation</t>
  </si>
  <si>
    <t>86</t>
  </si>
  <si>
    <t>Ijiranaide, Nagatoro-san</t>
  </si>
  <si>
    <t xml:space="preserve">Comedy, Romance, , </t>
  </si>
  <si>
    <t>Hige wo Soru. Soshite Joshikousei wo Hirou.</t>
  </si>
  <si>
    <t>Drama, Romance</t>
  </si>
  <si>
    <t>Vivy: Fluorite Eye's Song</t>
  </si>
  <si>
    <t>Action, Sci-Fi, Suspense, Music, Time Travel</t>
  </si>
  <si>
    <t>Fruits Basket: The Final</t>
  </si>
  <si>
    <t>Drama, Romance, Supernatural, Shoujo</t>
  </si>
  <si>
    <t>Odd Taxi</t>
  </si>
  <si>
    <t xml:space="preserve">Award Winning, Drama, Mystery, Suspense, Adult Cast, , </t>
  </si>
  <si>
    <t>OLM, P.I.C.S.</t>
  </si>
  <si>
    <t>Isekai Maou to Shoukan Shoujo no Dorei Majutsu Ω</t>
  </si>
  <si>
    <t xml:space="preserve">Action, Comedy, Fantasy, Romance, Ecchi, , </t>
  </si>
  <si>
    <t>Okuruto Noboru, Tezuka Productions</t>
  </si>
  <si>
    <t>Slime Taoshite 300-nen, Shiranai Uchi ni Level Max ni Nattemashita</t>
  </si>
  <si>
    <t>Bakuten!!</t>
  </si>
  <si>
    <t xml:space="preserve">Sports, Performing Arts, </t>
  </si>
  <si>
    <t>Hyper Positive Yogoremon</t>
  </si>
  <si>
    <t>FIREBUG</t>
  </si>
  <si>
    <t>Gokushufudou</t>
  </si>
  <si>
    <t>Mini Van Large</t>
  </si>
  <si>
    <t>Comedy, Parody, Strategy Game</t>
  </si>
  <si>
    <t>Hua Jianghu: Bu Liang Ren IV</t>
  </si>
  <si>
    <t>Xing Hai Qishi: Xia Ban Ji</t>
  </si>
  <si>
    <t>Hua Jianghu: Huan Shi Men Sheng 2nd Season</t>
  </si>
  <si>
    <t>Action, Drama, Fantasy, Mystery, Romance, Martial Arts</t>
  </si>
  <si>
    <t>Rhythmens</t>
  </si>
  <si>
    <t>VCRWORKS</t>
  </si>
  <si>
    <t>Wonder Egg Priority: Watashi no Priority</t>
  </si>
  <si>
    <t>Kimetsu no Yaiba: Mugen Ressha-hen</t>
  </si>
  <si>
    <t>Sekai Saikou no Ansatsusha, Isekai Kizoku ni Tensei suru</t>
  </si>
  <si>
    <t xml:space="preserve">Action, Drama, Fantasy, Mystery, Romance, , </t>
  </si>
  <si>
    <t>Takt Op. Destiny</t>
  </si>
  <si>
    <t>Action, Fantasy, Sci-Fi, Music, Urban Fantasy</t>
  </si>
  <si>
    <t>Madhouse, MAPPA</t>
  </si>
  <si>
    <t>Blue Period</t>
  </si>
  <si>
    <t xml:space="preserve">Drama, School, Visual Arts, </t>
  </si>
  <si>
    <t>Shin no Nakama ja Nai to Yuusha no Party wo Oidasareta node, Henkyou de Slow Life suru Koto ni Shimashita</t>
  </si>
  <si>
    <t>Studio Flad, Wolfsbane</t>
  </si>
  <si>
    <t>Shinka no Mi: Shiranai Uchi ni Kachigumi Jinsei</t>
  </si>
  <si>
    <t>Adventure, Fantasy, Romance, Harem, Isekai</t>
  </si>
  <si>
    <t>Hotline</t>
  </si>
  <si>
    <t>JoJo no Kimyou na Bouken Part 6: Stone Ocean</t>
  </si>
  <si>
    <t>Feng Qi Luoyang: Shen Ji Shaonian</t>
  </si>
  <si>
    <t>Action, Adventure, Fantasy, Historical</t>
  </si>
  <si>
    <t>Chosen</t>
  </si>
  <si>
    <t>Bai Yue Er</t>
  </si>
  <si>
    <t>Wolf Smoke Studio</t>
  </si>
  <si>
    <t>Koukaku Kidoutai: SAC_2045 - Jizoku Kanou Sensou</t>
  </si>
  <si>
    <t>Mystery, Sci-Fi, Adult Cast, Detective, Mecha, Military, Seinen</t>
  </si>
  <si>
    <t>Production I.G, Sola Digital Arts</t>
  </si>
  <si>
    <t>Pukkulapottas to Mori no Jikan</t>
  </si>
  <si>
    <t>Award Winning, Slice of Life</t>
  </si>
  <si>
    <t>Tecarat</t>
  </si>
  <si>
    <t>Row Labels</t>
  </si>
  <si>
    <t>Grand Total</t>
  </si>
  <si>
    <t>Average of Rating/Score</t>
  </si>
  <si>
    <t>Romance</t>
  </si>
  <si>
    <t>Mystery</t>
  </si>
  <si>
    <t>Boys Love</t>
  </si>
  <si>
    <t>Avant Garde</t>
  </si>
  <si>
    <t>Horror</t>
  </si>
  <si>
    <t>Music</t>
  </si>
  <si>
    <t>Racing</t>
  </si>
  <si>
    <t>Idols (Female)</t>
  </si>
  <si>
    <t>Award Winning</t>
  </si>
  <si>
    <t>Suspense</t>
  </si>
  <si>
    <t>Supernatural</t>
  </si>
  <si>
    <t>Experimental</t>
  </si>
  <si>
    <t>Count of Genres</t>
  </si>
  <si>
    <t>Sum of Popularity/Members</t>
  </si>
  <si>
    <t>vvv</t>
  </si>
  <si>
    <t>Count of Anime Title</t>
  </si>
  <si>
    <t>RATING vs POPULARITY (SCATTER)</t>
  </si>
  <si>
    <t>by season anime/popularity/rating</t>
  </si>
  <si>
    <t>(blank)</t>
  </si>
  <si>
    <t>India</t>
  </si>
  <si>
    <t>Crunchyroll</t>
  </si>
  <si>
    <t>Thriller</t>
  </si>
  <si>
    <t>The Promised Neverland S2</t>
  </si>
  <si>
    <t>US</t>
  </si>
  <si>
    <t>Global</t>
  </si>
  <si>
    <t>Netflix</t>
  </si>
  <si>
    <t>Bastard!! Heavy Metal</t>
  </si>
  <si>
    <t>Eden</t>
  </si>
  <si>
    <t>exception.</t>
  </si>
  <si>
    <t>Blade Runner Black Lotus</t>
  </si>
  <si>
    <t>Amazon Prime</t>
  </si>
  <si>
    <t>The Marginal Service</t>
  </si>
  <si>
    <t>Bastard!! Darkness</t>
  </si>
  <si>
    <t>Pacific Rim Black S2</t>
  </si>
  <si>
    <t>Yasuke</t>
  </si>
  <si>
    <t>Japan</t>
  </si>
  <si>
    <t>Cat's Eye (2024)</t>
  </si>
  <si>
    <t>Record of Ragnarok II</t>
  </si>
  <si>
    <t>Thermae Romae Novae</t>
  </si>
  <si>
    <t>Trese</t>
  </si>
  <si>
    <t>Record of Ragnarok</t>
  </si>
  <si>
    <t>Hulu</t>
  </si>
  <si>
    <t>Super Crooks</t>
  </si>
  <si>
    <t>Fairy Tail 100YQ S2</t>
  </si>
  <si>
    <t>Sword Art Online Prog.</t>
  </si>
  <si>
    <t>Fairy Tail 100 Year Quest</t>
  </si>
  <si>
    <t>Bucchigiri</t>
  </si>
  <si>
    <t>Spriggan</t>
  </si>
  <si>
    <t>The Way of the Househusband</t>
  </si>
  <si>
    <t>City The Animation</t>
  </si>
  <si>
    <t>Trapped in Dating Sim</t>
  </si>
  <si>
    <t>Baki Hanma</t>
  </si>
  <si>
    <t>My Hero Academia S5</t>
  </si>
  <si>
    <t>Black Clover S4</t>
  </si>
  <si>
    <t>Panty &amp; Stocking 2025</t>
  </si>
  <si>
    <t>Terminator Zero</t>
  </si>
  <si>
    <t>Tokyo Revengers S3</t>
  </si>
  <si>
    <t>Digimon Adventure 2020</t>
  </si>
  <si>
    <t>Dragon Ball Super S3</t>
  </si>
  <si>
    <t>Dragon Ball Super S2</t>
  </si>
  <si>
    <t>Dragon Quest Dai</t>
  </si>
  <si>
    <t>Beastars S3</t>
  </si>
  <si>
    <t>Black Clover Movie</t>
  </si>
  <si>
    <t>Overlord IV (Hulu)</t>
  </si>
  <si>
    <t>Gundam GQuuuuuuX</t>
  </si>
  <si>
    <t>Yuzuki-san Couple</t>
  </si>
  <si>
    <t>Birdie Wing</t>
  </si>
  <si>
    <t>Ranma 1/2 (2025)</t>
  </si>
  <si>
    <t>My Hero Academia S7</t>
  </si>
  <si>
    <t>Kengan Ashura S2</t>
  </si>
  <si>
    <t>Scott Pilgrim Anime</t>
  </si>
  <si>
    <t>Dragon Ball Super S4</t>
  </si>
  <si>
    <t>Dragon Ball Super Broly Hulu</t>
  </si>
  <si>
    <t>Mashle Magic &amp; Muscles</t>
  </si>
  <si>
    <t>Uncle from Another World</t>
  </si>
  <si>
    <t>My Hero Academia S6</t>
  </si>
  <si>
    <t>My Happy Marriage S2</t>
  </si>
  <si>
    <t>Gundam GQuuuuuuX S2</t>
  </si>
  <si>
    <t>Lazarus</t>
  </si>
  <si>
    <t>Spy x Family (Prime)</t>
  </si>
  <si>
    <t>Zombieland Saga Revenge</t>
  </si>
  <si>
    <t>Kaiju No.8</t>
  </si>
  <si>
    <t>Blue Lock S2</t>
  </si>
  <si>
    <t>Dr Stone S3</t>
  </si>
  <si>
    <t>To Your Eternity</t>
  </si>
  <si>
    <t>Kotaro Lives Alone</t>
  </si>
  <si>
    <t>Rurouni Kenshin 2023</t>
  </si>
  <si>
    <t>Dororo Remastered</t>
  </si>
  <si>
    <t>Slime Season 2</t>
  </si>
  <si>
    <t>Jobless Reincarnation</t>
  </si>
  <si>
    <t>Heavenly Delusion</t>
  </si>
  <si>
    <t>Shadows House S2</t>
  </si>
  <si>
    <t>Blue Box</t>
  </si>
  <si>
    <t>Hell's Paradise</t>
  </si>
  <si>
    <t>Chainsaw Man</t>
  </si>
  <si>
    <t>86 Eighty-Six</t>
  </si>
  <si>
    <t>Mushoku Tensei S1</t>
  </si>
  <si>
    <t>One Piece (Live)</t>
  </si>
  <si>
    <t>One Punch Man S3</t>
  </si>
  <si>
    <t>Fruits Basket Final</t>
  </si>
  <si>
    <t>Shangri-La Frontier</t>
  </si>
  <si>
    <t>Konosuba S3</t>
  </si>
  <si>
    <t>Solo Leveling</t>
  </si>
  <si>
    <t>Skip and Loafer</t>
  </si>
  <si>
    <t>Jujutsu Kaisen S1</t>
  </si>
  <si>
    <t>My Hero Academia Final</t>
  </si>
  <si>
    <t>Solo Leveling S2</t>
  </si>
  <si>
    <t>Mushoku Tensei S2 P2</t>
  </si>
  <si>
    <t>Sakamoto Days S2</t>
  </si>
  <si>
    <t>Oshi no Ko S2</t>
  </si>
  <si>
    <t>Cyberpunk: Edgerunners</t>
  </si>
  <si>
    <t>Oshi no Ko (Prime)</t>
  </si>
  <si>
    <t>SK8 the Infinity</t>
  </si>
  <si>
    <t>Oshi no Ko S1</t>
  </si>
  <si>
    <t>Summertime Rendering</t>
  </si>
  <si>
    <t>Made in Abyss S2</t>
  </si>
  <si>
    <t>Dandadan S2</t>
  </si>
  <si>
    <t>One Piece (Hulu)</t>
  </si>
  <si>
    <t>Re:Zero S3</t>
  </si>
  <si>
    <t>Kaguya-sama S3</t>
  </si>
  <si>
    <t>Oshi no Ko S3</t>
  </si>
  <si>
    <t>JJK: Shimetsu Arc</t>
  </si>
  <si>
    <t>Blue Eye Samurai</t>
  </si>
  <si>
    <t>Ranking of Kings</t>
  </si>
  <si>
    <t>Solo Leveling S3</t>
  </si>
  <si>
    <t>Orb: Movements of Earth</t>
  </si>
  <si>
    <t>Apothecary Diaries</t>
  </si>
  <si>
    <t>Bocchi the Rock</t>
  </si>
  <si>
    <t>One Piece Post-Egghead</t>
  </si>
  <si>
    <t>One Piece Egghead Arc</t>
  </si>
  <si>
    <t>Bleach TYBW (Hulu)</t>
  </si>
  <si>
    <t>Haikyu!! Final</t>
  </si>
  <si>
    <t>Vinland Saga S1 (Prime)</t>
  </si>
  <si>
    <t>Demon Slayer: Infinity</t>
  </si>
  <si>
    <t>Demon Slayer: Hashira</t>
  </si>
  <si>
    <t>Vinland Saga S2</t>
  </si>
  <si>
    <t>Jujutsu Kaisen S2</t>
  </si>
  <si>
    <t>Bleach TYBW</t>
  </si>
  <si>
    <t>Frieren S3</t>
  </si>
  <si>
    <t>Demon Slayer S5</t>
  </si>
  <si>
    <t>Apothecary Diaries S2</t>
  </si>
  <si>
    <t>Frieren S2</t>
  </si>
  <si>
    <t>Bleach Epilogue Arc</t>
  </si>
  <si>
    <t>Vinland Saga S3 (Prime)</t>
  </si>
  <si>
    <t>Vinland Saga S2 (Prime)</t>
  </si>
  <si>
    <t>Apothecary Diaries S3</t>
  </si>
  <si>
    <t>Jujutsu Kaisen S3</t>
  </si>
  <si>
    <t>Bleach TYBW Final</t>
  </si>
  <si>
    <t>Haikyu!! Movie</t>
  </si>
  <si>
    <t>Vinland Saga S4</t>
  </si>
  <si>
    <t>Jujutsu Kaisen Final</t>
  </si>
  <si>
    <t>Vinland Saga S3</t>
  </si>
  <si>
    <t>Attack on Titan Final</t>
  </si>
  <si>
    <t>Frieren: Beyond Journey</t>
  </si>
  <si>
    <t>Popularity Rank</t>
  </si>
  <si>
    <t>Region</t>
  </si>
  <si>
    <t>Monthly Viewership (M)</t>
  </si>
  <si>
    <t>Viewer Rating (/ 10)</t>
  </si>
  <si>
    <t>Date.3.1</t>
  </si>
  <si>
    <t>Platform</t>
  </si>
  <si>
    <t>Genre</t>
  </si>
  <si>
    <t>Average of Viewer Rating (/ 10)</t>
  </si>
  <si>
    <t>Highest Rated</t>
  </si>
  <si>
    <t>Sum of Monthly Viewership (M)</t>
  </si>
  <si>
    <t>Rating</t>
  </si>
  <si>
    <t>total titles</t>
  </si>
  <si>
    <t>best platform</t>
  </si>
  <si>
    <t>top 10 anime by viewer rating</t>
  </si>
  <si>
    <t>avg rating trend by year 2021-2026(global)</t>
  </si>
  <si>
    <t>Average of Monthly Viewership (M)</t>
  </si>
  <si>
    <t>avg viewership by region</t>
  </si>
  <si>
    <t>platform wise rating+viewership</t>
  </si>
  <si>
    <t>Count of Genre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</si>
</sst>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Aptos Narrow"/>
      <family val="2"/>
      <scheme val="minor"/>
    </font>
    <font>
      <sz val="11"/>
      <color theme="1"/>
      <name val="Aptos Narrow (Body)"/>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left" indent="1"/>
    </xf>
    <xf numFmtId="0" fontId="1" fillId="0" borderId="0" xfId="0" applyFont="1"/>
    <xf numFmtId="164" fontId="0" fillId="0" borderId="0" xfId="0" applyNumberFormat="1" applyAlignment="1">
      <alignment horizontal="left"/>
    </xf>
    <xf numFmtId="0" fontId="0" fillId="0" borderId="0" xfId="0" applyAlignment="1">
      <alignment wrapText="1"/>
    </xf>
    <xf numFmtId="0" fontId="2" fillId="0" borderId="0" xfId="0" applyFont="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B6EFFC"/>
      <color rgb="FF1ACCF6"/>
      <color rgb="FF0FC9F5"/>
      <color rgb="FFF87171"/>
      <color rgb="FFB7ECFF"/>
      <color rgb="FF25C6FF"/>
      <color rgb="FF69D8FF"/>
      <color rgb="FF85DFFF"/>
      <color rgb="FFED278F"/>
      <color rgb="FFEF43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4.xml"/><Relationship Id="rId25" Type="http://schemas.microsoft.com/office/2017/10/relationships/person" Target="persons/person.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pivotCacheDefinition" Target="pivotCache/pivotCacheDefinition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[AnimeDashboard.xlsx]Sheet2!PivotTable1</c:name>
    <c:fmtId val="0"/>
  </c:pivotSource>
  <c:chart>
    <c:autoTitleDeleted val="1"/>
    <c:pivotFmts>
      <c:pivotFmt>
        <c:idx val="0"/>
        <c:spPr>
          <a:gradFill flip="none" rotWithShape="1">
            <a:gsLst>
              <a:gs pos="0">
                <a:srgbClr val="F273B8"/>
              </a:gs>
              <a:gs pos="48000">
                <a:srgbClr val="CD7ED8"/>
              </a:gs>
              <a:gs pos="100000">
                <a:srgbClr val="A88BF9"/>
              </a:gs>
            </a:gsLst>
            <a:lin ang="0" scaled="1"/>
            <a:tileRect/>
          </a:gra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F273B8"/>
              </a:gs>
              <a:gs pos="48000">
                <a:srgbClr val="CD7ED8"/>
              </a:gs>
              <a:gs pos="100000">
                <a:srgbClr val="A88BF9"/>
              </a:gs>
            </a:gsLst>
            <a:lin ang="0" scaled="1"/>
            <a:tileRect/>
          </a:gradFill>
          <a:ln w="9525" cap="flat" cmpd="sng" algn="ctr">
            <a:noFill/>
            <a:round/>
          </a:ln>
          <a:effectLst/>
        </c:spPr>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1090064937101987"/>
          <c:y val="1.3024205307669874E-2"/>
          <c:w val="0.4610515418640399"/>
          <c:h val="0.84204505686789155"/>
        </c:manualLayout>
      </c:layout>
      <c:barChart>
        <c:barDir val="bar"/>
        <c:grouping val="clustered"/>
        <c:varyColors val="0"/>
        <c:ser>
          <c:idx val="0"/>
          <c:order val="0"/>
          <c:tx>
            <c:strRef>
              <c:f>Sheet2!$B$3</c:f>
              <c:strCache>
                <c:ptCount val="1"/>
                <c:pt idx="0">
                  <c:v>Total</c:v>
                </c:pt>
              </c:strCache>
            </c:strRef>
          </c:tx>
          <c:spPr>
            <a:gradFill flip="none" rotWithShape="1">
              <a:gsLst>
                <a:gs pos="0">
                  <a:srgbClr val="F273B8"/>
                </a:gs>
                <a:gs pos="48000">
                  <a:srgbClr val="CD7ED8"/>
                </a:gs>
                <a:gs pos="100000">
                  <a:srgbClr val="A88BF9"/>
                </a:gs>
              </a:gsLst>
              <a:lin ang="0" scaled="1"/>
              <a:tileRect/>
            </a:gra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Sheet2!$A$4:$A$14</c:f>
              <c:strCache>
                <c:ptCount val="10"/>
                <c:pt idx="0">
                  <c:v>Shingeki no Kyojin: The Final Season</c:v>
                </c:pt>
                <c:pt idx="1">
                  <c:v>Vinland Saga Season 2</c:v>
                </c:pt>
                <c:pt idx="2">
                  <c:v>Kusuriya no Hitorigoto</c:v>
                </c:pt>
                <c:pt idx="3">
                  <c:v>Kusuriya no Hitorigoto 2nd Season</c:v>
                </c:pt>
                <c:pt idx="4">
                  <c:v>Fruits Basket: The Final</c:v>
                </c:pt>
                <c:pt idx="5">
                  <c:v>Sousou no Frieren 2nd Season</c:v>
                </c:pt>
                <c:pt idx="6">
                  <c:v>Bleach: Sennen Kessen-hen</c:v>
                </c:pt>
                <c:pt idx="7">
                  <c:v>Chainsaw Man Movie: Reze-hen</c:v>
                </c:pt>
                <c:pt idx="8">
                  <c:v>Steel Ball Run: JoJo no Kimyou na Bouken</c:v>
                </c:pt>
                <c:pt idx="9">
                  <c:v>Sousou no Frieren</c:v>
                </c:pt>
              </c:strCache>
            </c:strRef>
          </c:cat>
          <c:val>
            <c:numRef>
              <c:f>Sheet2!$B$4:$B$14</c:f>
              <c:numCache>
                <c:formatCode>General</c:formatCode>
                <c:ptCount val="10"/>
                <c:pt idx="0">
                  <c:v>8.7899999999999991</c:v>
                </c:pt>
                <c:pt idx="1">
                  <c:v>8.82</c:v>
                </c:pt>
                <c:pt idx="2">
                  <c:v>8.85</c:v>
                </c:pt>
                <c:pt idx="3">
                  <c:v>8.91</c:v>
                </c:pt>
                <c:pt idx="4">
                  <c:v>8.94</c:v>
                </c:pt>
                <c:pt idx="5">
                  <c:v>8.9600000000000009</c:v>
                </c:pt>
                <c:pt idx="6">
                  <c:v>8.98</c:v>
                </c:pt>
                <c:pt idx="7">
                  <c:v>9.09</c:v>
                </c:pt>
                <c:pt idx="8">
                  <c:v>9.18</c:v>
                </c:pt>
                <c:pt idx="9">
                  <c:v>9.27</c:v>
                </c:pt>
              </c:numCache>
            </c:numRef>
          </c:val>
          <c:extLst>
            <c:ext xmlns:c16="http://schemas.microsoft.com/office/drawing/2014/chart" uri="{C3380CC4-5D6E-409C-BE32-E72D297353CC}">
              <c16:uniqueId val="{00000000-B140-4335-81AD-C532383CFE90}"/>
            </c:ext>
          </c:extLst>
        </c:ser>
        <c:dLbls>
          <c:dLblPos val="inEnd"/>
          <c:showLegendKey val="0"/>
          <c:showVal val="1"/>
          <c:showCatName val="0"/>
          <c:showSerName val="0"/>
          <c:showPercent val="0"/>
          <c:showBubbleSize val="0"/>
        </c:dLbls>
        <c:gapWidth val="65"/>
        <c:axId val="1800297823"/>
        <c:axId val="1904864303"/>
      </c:barChart>
      <c:catAx>
        <c:axId val="180029782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04864303"/>
        <c:crosses val="autoZero"/>
        <c:auto val="1"/>
        <c:lblAlgn val="ctr"/>
        <c:lblOffset val="100"/>
        <c:noMultiLvlLbl val="0"/>
      </c:catAx>
      <c:valAx>
        <c:axId val="1904864303"/>
        <c:scaling>
          <c:orientation val="minMax"/>
          <c:min val="5"/>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00297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A47">
        <a:alpha val="65098"/>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[AnimeDashboard.xlsx]PivotTable2!PivotTable3</c:name>
    <c:fmtId val="9"/>
  </c:pivotSource>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PivotTable2!$B$35</c:f>
              <c:strCache>
                <c:ptCount val="1"/>
                <c:pt idx="0">
                  <c:v>Total</c:v>
                </c:pt>
              </c:strCache>
            </c:strRef>
          </c:tx>
          <c:spPr>
            <a:solidFill>
              <a:schemeClr val="accent1">
                <a:alpha val="70000"/>
              </a:schemeClr>
            </a:solidFill>
            <a:ln>
              <a:noFill/>
            </a:ln>
            <a:effectLst/>
          </c:spPr>
          <c:invertIfNegative val="0"/>
          <c:cat>
            <c:strRef>
              <c:f>PivotTable2!$A$36:$A$40</c:f>
              <c:strCache>
                <c:ptCount val="4"/>
                <c:pt idx="0">
                  <c:v>Global</c:v>
                </c:pt>
                <c:pt idx="1">
                  <c:v>India</c:v>
                </c:pt>
                <c:pt idx="2">
                  <c:v>Japan</c:v>
                </c:pt>
                <c:pt idx="3">
                  <c:v>US</c:v>
                </c:pt>
              </c:strCache>
            </c:strRef>
          </c:cat>
          <c:val>
            <c:numRef>
              <c:f>PivotTable2!$B$36:$B$40</c:f>
              <c:numCache>
                <c:formatCode>0.00</c:formatCode>
                <c:ptCount val="4"/>
                <c:pt idx="0">
                  <c:v>13.752447552447551</c:v>
                </c:pt>
                <c:pt idx="1">
                  <c:v>9.0246753246753251</c:v>
                </c:pt>
                <c:pt idx="2">
                  <c:v>9.0547619047619037</c:v>
                </c:pt>
                <c:pt idx="3">
                  <c:v>10.966423357664235</c:v>
                </c:pt>
              </c:numCache>
            </c:numRef>
          </c:val>
          <c:extLst>
            <c:ext xmlns:c16="http://schemas.microsoft.com/office/drawing/2014/chart" uri="{C3380CC4-5D6E-409C-BE32-E72D297353CC}">
              <c16:uniqueId val="{00000000-0C68-4F4E-8C54-C045F6D60018}"/>
            </c:ext>
          </c:extLst>
        </c:ser>
        <c:dLbls>
          <c:showLegendKey val="0"/>
          <c:showVal val="0"/>
          <c:showCatName val="0"/>
          <c:showSerName val="0"/>
          <c:showPercent val="0"/>
          <c:showBubbleSize val="0"/>
        </c:dLbls>
        <c:gapWidth val="80"/>
        <c:overlap val="25"/>
        <c:axId val="493852447"/>
        <c:axId val="493841887"/>
      </c:barChart>
      <c:catAx>
        <c:axId val="493852447"/>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493841887"/>
        <c:crosses val="autoZero"/>
        <c:auto val="1"/>
        <c:lblAlgn val="ctr"/>
        <c:lblOffset val="100"/>
        <c:noMultiLvlLbl val="0"/>
      </c:catAx>
      <c:valAx>
        <c:axId val="493841887"/>
        <c:scaling>
          <c:orientation val="minMax"/>
        </c:scaling>
        <c:delete val="0"/>
        <c:axPos val="l"/>
        <c:majorGridlines>
          <c:spPr>
            <a:ln w="9525" cap="flat" cmpd="sng" algn="ctr">
              <a:solidFill>
                <a:schemeClr val="tx1">
                  <a:lumMod val="5000"/>
                  <a:lumOff val="9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49385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[AnimeDashboard.xlsx]PivotTable2!PivotTable4</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2225" cap="rnd">
            <a:solidFill>
              <a:schemeClr val="accent1"/>
            </a:solidFill>
            <a:round/>
          </a:ln>
          <a:effectLst/>
        </c:spPr>
        <c:marker>
          <c:symbol val="circle"/>
          <c:size val="5"/>
          <c:spPr>
            <a:solidFill>
              <a:schemeClr val="accent1"/>
            </a:solidFill>
            <a:ln w="2857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circle"/>
          <c:size val="5"/>
          <c:spPr>
            <a:solidFill>
              <a:schemeClr val="accent1"/>
            </a:solidFill>
            <a:ln w="2857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PivotTable2!$B$51</c:f>
              <c:strCache>
                <c:ptCount val="1"/>
                <c:pt idx="0">
                  <c:v>Total</c:v>
                </c:pt>
              </c:strCache>
            </c:strRef>
          </c:tx>
          <c:spPr>
            <a:ln w="22225" cap="rnd">
              <a:solidFill>
                <a:schemeClr val="accent1"/>
              </a:solidFill>
              <a:round/>
            </a:ln>
            <a:effectLst/>
          </c:spPr>
          <c:marker>
            <c:symbol val="circle"/>
            <c:size val="5"/>
            <c:spPr>
              <a:solidFill>
                <a:schemeClr val="accent1"/>
              </a:solidFill>
              <a:ln w="28575">
                <a:solidFill>
                  <a:schemeClr val="accent1"/>
                </a:solidFill>
              </a:ln>
              <a:effectLst/>
            </c:spPr>
          </c:marker>
          <c:cat>
            <c:strRef>
              <c:f>PivotTable2!$A$52:$A$58</c:f>
              <c:strCache>
                <c:ptCount val="6"/>
                <c:pt idx="0">
                  <c:v>2021</c:v>
                </c:pt>
                <c:pt idx="1">
                  <c:v>2022</c:v>
                </c:pt>
                <c:pt idx="2">
                  <c:v>2023</c:v>
                </c:pt>
                <c:pt idx="3">
                  <c:v>2024</c:v>
                </c:pt>
                <c:pt idx="4">
                  <c:v>2025</c:v>
                </c:pt>
                <c:pt idx="5">
                  <c:v>2026</c:v>
                </c:pt>
              </c:strCache>
            </c:strRef>
          </c:cat>
          <c:val>
            <c:numRef>
              <c:f>PivotTable2!$B$52:$B$58</c:f>
              <c:numCache>
                <c:formatCode>0.00</c:formatCode>
                <c:ptCount val="6"/>
                <c:pt idx="0">
                  <c:v>7.7677419354838735</c:v>
                </c:pt>
                <c:pt idx="1">
                  <c:v>7.9686046511627957</c:v>
                </c:pt>
                <c:pt idx="2">
                  <c:v>8.2784810126582258</c:v>
                </c:pt>
                <c:pt idx="3">
                  <c:v>8.2025000000000023</c:v>
                </c:pt>
                <c:pt idx="4">
                  <c:v>8.4937500000000039</c:v>
                </c:pt>
                <c:pt idx="5">
                  <c:v>8.8025641025641033</c:v>
                </c:pt>
              </c:numCache>
            </c:numRef>
          </c:val>
          <c:smooth val="1"/>
          <c:extLst>
            <c:ext xmlns:c16="http://schemas.microsoft.com/office/drawing/2014/chart" uri="{C3380CC4-5D6E-409C-BE32-E72D297353CC}">
              <c16:uniqueId val="{00000000-A4C9-4E56-B97B-93A06E727300}"/>
            </c:ext>
          </c:extLst>
        </c:ser>
        <c:dLbls>
          <c:showLegendKey val="0"/>
          <c:showVal val="0"/>
          <c:showCatName val="0"/>
          <c:showSerName val="0"/>
          <c:showPercent val="0"/>
          <c:showBubbleSize val="0"/>
        </c:dLbls>
        <c:marker val="1"/>
        <c:smooth val="0"/>
        <c:axId val="493827967"/>
        <c:axId val="493829407"/>
      </c:lineChart>
      <c:catAx>
        <c:axId val="49382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829407"/>
        <c:crosses val="autoZero"/>
        <c:auto val="1"/>
        <c:lblAlgn val="ctr"/>
        <c:lblOffset val="100"/>
        <c:noMultiLvlLbl val="0"/>
      </c:catAx>
      <c:valAx>
        <c:axId val="4938294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827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[AnimeDashboard.xlsx]PivotTable2!PivotTable6</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PivotTable2!$E$70</c:f>
              <c:strCache>
                <c:ptCount val="1"/>
                <c:pt idx="0">
                  <c:v>Total</c:v>
                </c:pt>
              </c:strCache>
            </c:strRef>
          </c:tx>
          <c:spPr>
            <a:solidFill>
              <a:schemeClr val="accent1"/>
            </a:solidFill>
            <a:ln>
              <a:noFill/>
            </a:ln>
            <a:effectLst/>
          </c:spPr>
          <c:invertIfNegative val="0"/>
          <c:cat>
            <c:strRef>
              <c:f>PivotTable2!$D$71:$D$82</c:f>
              <c:strCache>
                <c:ptCount val="11"/>
                <c:pt idx="0">
                  <c:v>Apothecary Diaries S3</c:v>
                </c:pt>
                <c:pt idx="1">
                  <c:v>Attack on Titan Final</c:v>
                </c:pt>
                <c:pt idx="2">
                  <c:v>Bleach Epilogue Arc</c:v>
                </c:pt>
                <c:pt idx="3">
                  <c:v>Bleach TYBW Final</c:v>
                </c:pt>
                <c:pt idx="4">
                  <c:v>Frieren: Beyond Journey</c:v>
                </c:pt>
                <c:pt idx="5">
                  <c:v>Haikyu!! Movie</c:v>
                </c:pt>
                <c:pt idx="6">
                  <c:v>Jujutsu Kaisen Final</c:v>
                </c:pt>
                <c:pt idx="7">
                  <c:v>Jujutsu Kaisen S3</c:v>
                </c:pt>
                <c:pt idx="8">
                  <c:v>Vinland Saga S3</c:v>
                </c:pt>
                <c:pt idx="9">
                  <c:v>Vinland Saga S3 (Prime)</c:v>
                </c:pt>
                <c:pt idx="10">
                  <c:v>Vinland Saga S4</c:v>
                </c:pt>
              </c:strCache>
            </c:strRef>
          </c:cat>
          <c:val>
            <c:numRef>
              <c:f>PivotTable2!$E$71:$E$82</c:f>
              <c:numCache>
                <c:formatCode>0.00</c:formatCode>
                <c:ptCount val="11"/>
                <c:pt idx="0">
                  <c:v>9.0333333333333332</c:v>
                </c:pt>
                <c:pt idx="1">
                  <c:v>9.35</c:v>
                </c:pt>
                <c:pt idx="2">
                  <c:v>9.0749999999999993</c:v>
                </c:pt>
                <c:pt idx="3">
                  <c:v>9.0749999999999993</c:v>
                </c:pt>
                <c:pt idx="4">
                  <c:v>9.2750000000000004</c:v>
                </c:pt>
                <c:pt idx="5">
                  <c:v>9.0749999999999993</c:v>
                </c:pt>
                <c:pt idx="6">
                  <c:v>9.35</c:v>
                </c:pt>
                <c:pt idx="7">
                  <c:v>9.0500000000000007</c:v>
                </c:pt>
                <c:pt idx="8">
                  <c:v>9.1</c:v>
                </c:pt>
                <c:pt idx="9">
                  <c:v>9.0333333333333332</c:v>
                </c:pt>
                <c:pt idx="10">
                  <c:v>9.2333333333333343</c:v>
                </c:pt>
              </c:numCache>
            </c:numRef>
          </c:val>
          <c:extLst>
            <c:ext xmlns:c16="http://schemas.microsoft.com/office/drawing/2014/chart" uri="{C3380CC4-5D6E-409C-BE32-E72D297353CC}">
              <c16:uniqueId val="{00000000-B68F-469A-A7C5-FDDBA5A30883}"/>
            </c:ext>
          </c:extLst>
        </c:ser>
        <c:dLbls>
          <c:showLegendKey val="0"/>
          <c:showVal val="0"/>
          <c:showCatName val="0"/>
          <c:showSerName val="0"/>
          <c:showPercent val="0"/>
          <c:showBubbleSize val="0"/>
        </c:dLbls>
        <c:gapWidth val="182"/>
        <c:axId val="575184287"/>
        <c:axId val="575186207"/>
      </c:barChart>
      <c:catAx>
        <c:axId val="575184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186207"/>
        <c:crosses val="autoZero"/>
        <c:auto val="1"/>
        <c:lblAlgn val="ctr"/>
        <c:lblOffset val="100"/>
        <c:noMultiLvlLbl val="0"/>
      </c:catAx>
      <c:valAx>
        <c:axId val="57518620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18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[AnimeDashboard.xlsx]PivotTable2!PivotTable2</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PivotTable2!$B$20</c:f>
              <c:strCache>
                <c:ptCount val="1"/>
                <c:pt idx="0">
                  <c:v>Average of Viewer Rating (/ 10)</c:v>
                </c:pt>
              </c:strCache>
            </c:strRef>
          </c:tx>
          <c:spPr>
            <a:solidFill>
              <a:schemeClr val="accent1"/>
            </a:solidFill>
            <a:ln>
              <a:noFill/>
            </a:ln>
            <a:effectLst/>
          </c:spPr>
          <c:invertIfNegative val="0"/>
          <c:cat>
            <c:strRef>
              <c:f>PivotTable2!$A$21:$A$25</c:f>
              <c:strCache>
                <c:ptCount val="4"/>
                <c:pt idx="0">
                  <c:v>Amazon Prime</c:v>
                </c:pt>
                <c:pt idx="1">
                  <c:v>Crunchyroll</c:v>
                </c:pt>
                <c:pt idx="2">
                  <c:v>Hulu</c:v>
                </c:pt>
                <c:pt idx="3">
                  <c:v>Netflix</c:v>
                </c:pt>
              </c:strCache>
            </c:strRef>
          </c:cat>
          <c:val>
            <c:numRef>
              <c:f>PivotTable2!$B$21:$B$25</c:f>
              <c:numCache>
                <c:formatCode>0.00</c:formatCode>
                <c:ptCount val="4"/>
                <c:pt idx="0">
                  <c:v>8.0146666666666651</c:v>
                </c:pt>
                <c:pt idx="1">
                  <c:v>8.4571428571428537</c:v>
                </c:pt>
                <c:pt idx="2">
                  <c:v>8.1612244897959236</c:v>
                </c:pt>
                <c:pt idx="3">
                  <c:v>7.871962616822433</c:v>
                </c:pt>
              </c:numCache>
            </c:numRef>
          </c:val>
          <c:extLst>
            <c:ext xmlns:c16="http://schemas.microsoft.com/office/drawing/2014/chart" uri="{C3380CC4-5D6E-409C-BE32-E72D297353CC}">
              <c16:uniqueId val="{00000000-3438-44EC-91A6-4DD831ADB36C}"/>
            </c:ext>
          </c:extLst>
        </c:ser>
        <c:ser>
          <c:idx val="1"/>
          <c:order val="1"/>
          <c:tx>
            <c:strRef>
              <c:f>PivotTable2!$C$20</c:f>
              <c:strCache>
                <c:ptCount val="1"/>
                <c:pt idx="0">
                  <c:v>Average of Monthly Viewership (M)</c:v>
                </c:pt>
              </c:strCache>
            </c:strRef>
          </c:tx>
          <c:spPr>
            <a:solidFill>
              <a:schemeClr val="accent2"/>
            </a:solidFill>
            <a:ln>
              <a:noFill/>
            </a:ln>
            <a:effectLst/>
          </c:spPr>
          <c:invertIfNegative val="0"/>
          <c:cat>
            <c:strRef>
              <c:f>PivotTable2!$A$21:$A$25</c:f>
              <c:strCache>
                <c:ptCount val="4"/>
                <c:pt idx="0">
                  <c:v>Amazon Prime</c:v>
                </c:pt>
                <c:pt idx="1">
                  <c:v>Crunchyroll</c:v>
                </c:pt>
                <c:pt idx="2">
                  <c:v>Hulu</c:v>
                </c:pt>
                <c:pt idx="3">
                  <c:v>Netflix</c:v>
                </c:pt>
              </c:strCache>
            </c:strRef>
          </c:cat>
          <c:val>
            <c:numRef>
              <c:f>PivotTable2!$C$21:$C$25</c:f>
              <c:numCache>
                <c:formatCode>0.00</c:formatCode>
                <c:ptCount val="4"/>
                <c:pt idx="0">
                  <c:v>7.6653333333333311</c:v>
                </c:pt>
                <c:pt idx="1">
                  <c:v>13.240993788819877</c:v>
                </c:pt>
                <c:pt idx="2">
                  <c:v>12.313265306122444</c:v>
                </c:pt>
                <c:pt idx="3">
                  <c:v>9.4495327102803746</c:v>
                </c:pt>
              </c:numCache>
            </c:numRef>
          </c:val>
          <c:extLst>
            <c:ext xmlns:c16="http://schemas.microsoft.com/office/drawing/2014/chart" uri="{C3380CC4-5D6E-409C-BE32-E72D297353CC}">
              <c16:uniqueId val="{00000001-3438-44EC-91A6-4DD831ADB36C}"/>
            </c:ext>
          </c:extLst>
        </c:ser>
        <c:dLbls>
          <c:showLegendKey val="0"/>
          <c:showVal val="0"/>
          <c:showCatName val="0"/>
          <c:showSerName val="0"/>
          <c:showPercent val="0"/>
          <c:showBubbleSize val="0"/>
        </c:dLbls>
        <c:gapWidth val="219"/>
        <c:overlap val="-27"/>
        <c:axId val="1206086656"/>
        <c:axId val="1206104416"/>
      </c:barChart>
      <c:catAx>
        <c:axId val="120608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104416"/>
        <c:crosses val="autoZero"/>
        <c:auto val="1"/>
        <c:lblAlgn val="ctr"/>
        <c:lblOffset val="100"/>
        <c:noMultiLvlLbl val="0"/>
      </c:catAx>
      <c:valAx>
        <c:axId val="12061044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08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[AnimeDashboard.xlsx]new!PivotTable1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new!$B$1</c:f>
              <c:strCache>
                <c:ptCount val="1"/>
                <c:pt idx="0">
                  <c:v>Average of Viewer Rating (/ 10)</c:v>
                </c:pt>
              </c:strCache>
            </c:strRef>
          </c:tx>
          <c:spPr>
            <a:solidFill>
              <a:schemeClr val="accent1"/>
            </a:solidFill>
            <a:ln>
              <a:noFill/>
            </a:ln>
            <a:effectLst/>
          </c:spPr>
          <c:invertIfNegative val="0"/>
          <c:cat>
            <c:strRef>
              <c:f>new!$A$2:$A$6</c:f>
              <c:strCache>
                <c:ptCount val="4"/>
                <c:pt idx="0">
                  <c:v>Amazon Prime</c:v>
                </c:pt>
                <c:pt idx="1">
                  <c:v>Crunchyroll</c:v>
                </c:pt>
                <c:pt idx="2">
                  <c:v>Hulu</c:v>
                </c:pt>
                <c:pt idx="3">
                  <c:v>Netflix</c:v>
                </c:pt>
              </c:strCache>
            </c:strRef>
          </c:cat>
          <c:val>
            <c:numRef>
              <c:f>new!$B$2:$B$6</c:f>
              <c:numCache>
                <c:formatCode>0.00</c:formatCode>
                <c:ptCount val="4"/>
                <c:pt idx="0">
                  <c:v>8.0146666666666651</c:v>
                </c:pt>
                <c:pt idx="1">
                  <c:v>8.4571428571428537</c:v>
                </c:pt>
                <c:pt idx="2">
                  <c:v>8.1612244897959236</c:v>
                </c:pt>
                <c:pt idx="3">
                  <c:v>7.871962616822433</c:v>
                </c:pt>
              </c:numCache>
            </c:numRef>
          </c:val>
          <c:extLst>
            <c:ext xmlns:c16="http://schemas.microsoft.com/office/drawing/2014/chart" uri="{C3380CC4-5D6E-409C-BE32-E72D297353CC}">
              <c16:uniqueId val="{00000000-0CC1-4F6C-80B2-3B6F640A1857}"/>
            </c:ext>
          </c:extLst>
        </c:ser>
        <c:ser>
          <c:idx val="1"/>
          <c:order val="1"/>
          <c:tx>
            <c:strRef>
              <c:f>new!$C$1</c:f>
              <c:strCache>
                <c:ptCount val="1"/>
                <c:pt idx="0">
                  <c:v>Average of Monthly Viewership (M)</c:v>
                </c:pt>
              </c:strCache>
            </c:strRef>
          </c:tx>
          <c:spPr>
            <a:solidFill>
              <a:schemeClr val="accent2"/>
            </a:solidFill>
            <a:ln>
              <a:noFill/>
            </a:ln>
            <a:effectLst/>
          </c:spPr>
          <c:invertIfNegative val="0"/>
          <c:cat>
            <c:strRef>
              <c:f>new!$A$2:$A$6</c:f>
              <c:strCache>
                <c:ptCount val="4"/>
                <c:pt idx="0">
                  <c:v>Amazon Prime</c:v>
                </c:pt>
                <c:pt idx="1">
                  <c:v>Crunchyroll</c:v>
                </c:pt>
                <c:pt idx="2">
                  <c:v>Hulu</c:v>
                </c:pt>
                <c:pt idx="3">
                  <c:v>Netflix</c:v>
                </c:pt>
              </c:strCache>
            </c:strRef>
          </c:cat>
          <c:val>
            <c:numRef>
              <c:f>new!$C$2:$C$6</c:f>
              <c:numCache>
                <c:formatCode>0.00</c:formatCode>
                <c:ptCount val="4"/>
                <c:pt idx="0">
                  <c:v>7.6653333333333311</c:v>
                </c:pt>
                <c:pt idx="1">
                  <c:v>13.240993788819877</c:v>
                </c:pt>
                <c:pt idx="2">
                  <c:v>12.313265306122444</c:v>
                </c:pt>
                <c:pt idx="3">
                  <c:v>9.4495327102803746</c:v>
                </c:pt>
              </c:numCache>
            </c:numRef>
          </c:val>
          <c:extLst>
            <c:ext xmlns:c16="http://schemas.microsoft.com/office/drawing/2014/chart" uri="{C3380CC4-5D6E-409C-BE32-E72D297353CC}">
              <c16:uniqueId val="{00000001-0CC1-4F6C-80B2-3B6F640A1857}"/>
            </c:ext>
          </c:extLst>
        </c:ser>
        <c:dLbls>
          <c:showLegendKey val="0"/>
          <c:showVal val="0"/>
          <c:showCatName val="0"/>
          <c:showSerName val="0"/>
          <c:showPercent val="0"/>
          <c:showBubbleSize val="0"/>
        </c:dLbls>
        <c:gapWidth val="219"/>
        <c:overlap val="-27"/>
        <c:axId val="1206188416"/>
        <c:axId val="1206205696"/>
      </c:barChart>
      <c:catAx>
        <c:axId val="120618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205696"/>
        <c:crosses val="autoZero"/>
        <c:auto val="1"/>
        <c:lblAlgn val="ctr"/>
        <c:lblOffset val="100"/>
        <c:noMultiLvlLbl val="0"/>
      </c:catAx>
      <c:valAx>
        <c:axId val="120620569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188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[AnimeDashboard.xlsx]new!PivotTable2</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new!$B$20</c:f>
              <c:strCache>
                <c:ptCount val="1"/>
                <c:pt idx="0">
                  <c:v>Total</c:v>
                </c:pt>
              </c:strCache>
            </c:strRef>
          </c:tx>
          <c:spPr>
            <a:solidFill>
              <a:schemeClr val="accent1"/>
            </a:solidFill>
            <a:ln>
              <a:noFill/>
            </a:ln>
            <a:effectLst/>
          </c:spPr>
          <c:invertIfNegative val="0"/>
          <c:cat>
            <c:strRef>
              <c:f>new!$A$21:$A$25</c:f>
              <c:strCache>
                <c:ptCount val="4"/>
                <c:pt idx="0">
                  <c:v>Global</c:v>
                </c:pt>
                <c:pt idx="1">
                  <c:v>India</c:v>
                </c:pt>
                <c:pt idx="2">
                  <c:v>Japan</c:v>
                </c:pt>
                <c:pt idx="3">
                  <c:v>US</c:v>
                </c:pt>
              </c:strCache>
            </c:strRef>
          </c:cat>
          <c:val>
            <c:numRef>
              <c:f>new!$B$21:$B$25</c:f>
              <c:numCache>
                <c:formatCode>0.00</c:formatCode>
                <c:ptCount val="4"/>
                <c:pt idx="0">
                  <c:v>13.752447552447551</c:v>
                </c:pt>
                <c:pt idx="1">
                  <c:v>9.0246753246753251</c:v>
                </c:pt>
                <c:pt idx="2">
                  <c:v>9.0547619047619037</c:v>
                </c:pt>
                <c:pt idx="3">
                  <c:v>10.966423357664235</c:v>
                </c:pt>
              </c:numCache>
            </c:numRef>
          </c:val>
          <c:extLst>
            <c:ext xmlns:c16="http://schemas.microsoft.com/office/drawing/2014/chart" uri="{C3380CC4-5D6E-409C-BE32-E72D297353CC}">
              <c16:uniqueId val="{00000000-9ABF-47A2-AB2C-2B831E893188}"/>
            </c:ext>
          </c:extLst>
        </c:ser>
        <c:dLbls>
          <c:showLegendKey val="0"/>
          <c:showVal val="0"/>
          <c:showCatName val="0"/>
          <c:showSerName val="0"/>
          <c:showPercent val="0"/>
          <c:showBubbleSize val="0"/>
        </c:dLbls>
        <c:gapWidth val="150"/>
        <c:overlap val="100"/>
        <c:axId val="1206063136"/>
        <c:axId val="1206063616"/>
      </c:barChart>
      <c:catAx>
        <c:axId val="120606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063616"/>
        <c:crosses val="autoZero"/>
        <c:auto val="1"/>
        <c:lblAlgn val="ctr"/>
        <c:lblOffset val="100"/>
        <c:noMultiLvlLbl val="0"/>
      </c:catAx>
      <c:valAx>
        <c:axId val="12060636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06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[AnimeDashboard.xlsx]new!PivotTable3</c:name>
    <c:fmtId val="1"/>
  </c:pivotSource>
  <c:chart>
    <c:autoTitleDeleted val="1"/>
    <c:pivotFmts>
      <c:pivotFmt>
        <c:idx val="0"/>
        <c:spPr>
          <a:ln w="28575" cap="rnd">
            <a:solidFill>
              <a:schemeClr val="accent1"/>
            </a:solidFill>
            <a:round/>
          </a:ln>
          <a:effectLst/>
        </c:spPr>
        <c:marker>
          <c:symbol val="circle"/>
          <c:size val="5"/>
          <c:spPr>
            <a:solidFill>
              <a:schemeClr val="accent1"/>
            </a:solidFill>
            <a:ln w="1587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new!$B$36</c:f>
              <c:strCache>
                <c:ptCount val="1"/>
                <c:pt idx="0">
                  <c:v>Total</c:v>
                </c:pt>
              </c:strCache>
            </c:strRef>
          </c:tx>
          <c:spPr>
            <a:ln w="28575" cap="rnd">
              <a:solidFill>
                <a:schemeClr val="accent1"/>
              </a:solidFill>
              <a:round/>
            </a:ln>
            <a:effectLst/>
          </c:spPr>
          <c:marker>
            <c:symbol val="circle"/>
            <c:size val="5"/>
            <c:spPr>
              <a:solidFill>
                <a:schemeClr val="accent1"/>
              </a:solidFill>
              <a:ln w="15875">
                <a:solidFill>
                  <a:schemeClr val="accent1"/>
                </a:solidFill>
              </a:ln>
              <a:effectLst/>
            </c:spPr>
          </c:marker>
          <c:cat>
            <c:strRef>
              <c:f>new!$A$37:$A$43</c:f>
              <c:strCache>
                <c:ptCount val="6"/>
                <c:pt idx="0">
                  <c:v>2021</c:v>
                </c:pt>
                <c:pt idx="1">
                  <c:v>2022</c:v>
                </c:pt>
                <c:pt idx="2">
                  <c:v>2023</c:v>
                </c:pt>
                <c:pt idx="3">
                  <c:v>2024</c:v>
                </c:pt>
                <c:pt idx="4">
                  <c:v>2025</c:v>
                </c:pt>
                <c:pt idx="5">
                  <c:v>2026</c:v>
                </c:pt>
              </c:strCache>
            </c:strRef>
          </c:cat>
          <c:val>
            <c:numRef>
              <c:f>new!$B$37:$B$43</c:f>
              <c:numCache>
                <c:formatCode>0.00</c:formatCode>
                <c:ptCount val="6"/>
                <c:pt idx="0">
                  <c:v>7.7677419354838735</c:v>
                </c:pt>
                <c:pt idx="1">
                  <c:v>7.9686046511627957</c:v>
                </c:pt>
                <c:pt idx="2">
                  <c:v>8.2784810126582258</c:v>
                </c:pt>
                <c:pt idx="3">
                  <c:v>8.2025000000000023</c:v>
                </c:pt>
                <c:pt idx="4">
                  <c:v>8.4937500000000039</c:v>
                </c:pt>
                <c:pt idx="5">
                  <c:v>8.8025641025641033</c:v>
                </c:pt>
              </c:numCache>
            </c:numRef>
          </c:val>
          <c:smooth val="1"/>
          <c:extLst>
            <c:ext xmlns:c16="http://schemas.microsoft.com/office/drawing/2014/chart" uri="{C3380CC4-5D6E-409C-BE32-E72D297353CC}">
              <c16:uniqueId val="{00000000-B939-431A-84A7-9AF8C1B65668}"/>
            </c:ext>
          </c:extLst>
        </c:ser>
        <c:dLbls>
          <c:showLegendKey val="0"/>
          <c:showVal val="0"/>
          <c:showCatName val="0"/>
          <c:showSerName val="0"/>
          <c:showPercent val="0"/>
          <c:showBubbleSize val="0"/>
        </c:dLbls>
        <c:marker val="1"/>
        <c:smooth val="0"/>
        <c:axId val="1206180256"/>
        <c:axId val="1206178336"/>
      </c:lineChart>
      <c:catAx>
        <c:axId val="120618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178336"/>
        <c:crosses val="autoZero"/>
        <c:auto val="1"/>
        <c:lblAlgn val="ctr"/>
        <c:lblOffset val="100"/>
        <c:noMultiLvlLbl val="0"/>
      </c:catAx>
      <c:valAx>
        <c:axId val="120617833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18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[AnimeDashboard.xlsx]new!PivotTable4</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new!$B$53</c:f>
              <c:strCache>
                <c:ptCount val="1"/>
                <c:pt idx="0">
                  <c:v>Total</c:v>
                </c:pt>
              </c:strCache>
            </c:strRef>
          </c:tx>
          <c:spPr>
            <a:solidFill>
              <a:schemeClr val="accent1"/>
            </a:solidFill>
            <a:ln>
              <a:noFill/>
            </a:ln>
            <a:effectLst/>
          </c:spPr>
          <c:invertIfNegative val="0"/>
          <c:cat>
            <c:strRef>
              <c:f>new!$A$54:$A$65</c:f>
              <c:strCache>
                <c:ptCount val="11"/>
                <c:pt idx="0">
                  <c:v>Apothecary Diaries S3</c:v>
                </c:pt>
                <c:pt idx="1">
                  <c:v>Vinland Saga S3 (Prime)</c:v>
                </c:pt>
                <c:pt idx="2">
                  <c:v>Jujutsu Kaisen S3</c:v>
                </c:pt>
                <c:pt idx="3">
                  <c:v>Haikyu!! Movie</c:v>
                </c:pt>
                <c:pt idx="4">
                  <c:v>Bleach Epilogue Arc</c:v>
                </c:pt>
                <c:pt idx="5">
                  <c:v>Bleach TYBW Final</c:v>
                </c:pt>
                <c:pt idx="6">
                  <c:v>Vinland Saga S3</c:v>
                </c:pt>
                <c:pt idx="7">
                  <c:v>Vinland Saga S4</c:v>
                </c:pt>
                <c:pt idx="8">
                  <c:v>Frieren: Beyond Journey</c:v>
                </c:pt>
                <c:pt idx="9">
                  <c:v>Attack on Titan Final</c:v>
                </c:pt>
                <c:pt idx="10">
                  <c:v>Jujutsu Kaisen Final</c:v>
                </c:pt>
              </c:strCache>
            </c:strRef>
          </c:cat>
          <c:val>
            <c:numRef>
              <c:f>new!$B$54:$B$65</c:f>
              <c:numCache>
                <c:formatCode>0.00</c:formatCode>
                <c:ptCount val="11"/>
                <c:pt idx="0">
                  <c:v>9.0333333333333332</c:v>
                </c:pt>
                <c:pt idx="1">
                  <c:v>9.0333333333333332</c:v>
                </c:pt>
                <c:pt idx="2">
                  <c:v>9.0500000000000007</c:v>
                </c:pt>
                <c:pt idx="3">
                  <c:v>9.0749999999999993</c:v>
                </c:pt>
                <c:pt idx="4">
                  <c:v>9.0749999999999993</c:v>
                </c:pt>
                <c:pt idx="5">
                  <c:v>9.0749999999999993</c:v>
                </c:pt>
                <c:pt idx="6">
                  <c:v>9.1</c:v>
                </c:pt>
                <c:pt idx="7">
                  <c:v>9.2333333333333343</c:v>
                </c:pt>
                <c:pt idx="8">
                  <c:v>9.2750000000000004</c:v>
                </c:pt>
                <c:pt idx="9">
                  <c:v>9.35</c:v>
                </c:pt>
                <c:pt idx="10">
                  <c:v>9.35</c:v>
                </c:pt>
              </c:numCache>
            </c:numRef>
          </c:val>
          <c:extLst>
            <c:ext xmlns:c16="http://schemas.microsoft.com/office/drawing/2014/chart" uri="{C3380CC4-5D6E-409C-BE32-E72D297353CC}">
              <c16:uniqueId val="{00000000-4684-4084-870B-E73484B28C32}"/>
            </c:ext>
          </c:extLst>
        </c:ser>
        <c:dLbls>
          <c:showLegendKey val="0"/>
          <c:showVal val="0"/>
          <c:showCatName val="0"/>
          <c:showSerName val="0"/>
          <c:showPercent val="0"/>
          <c:showBubbleSize val="0"/>
        </c:dLbls>
        <c:gapWidth val="182"/>
        <c:axId val="1206214336"/>
        <c:axId val="1206213376"/>
      </c:barChart>
      <c:catAx>
        <c:axId val="1206214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213376"/>
        <c:crosses val="autoZero"/>
        <c:auto val="1"/>
        <c:lblAlgn val="ctr"/>
        <c:lblOffset val="100"/>
        <c:noMultiLvlLbl val="0"/>
      </c:catAx>
      <c:valAx>
        <c:axId val="120621337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21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[AnimeDashboard.xlsx]PivotTable1!PivotTable1</c:name>
    <c:fmtId val="0"/>
  </c:pivotSource>
  <c:chart>
    <c:autoTitleDeleted val="1"/>
    <c:pivotFmts>
      <c:pivotFmt>
        <c:idx val="0"/>
        <c:spPr>
          <a:gradFill rotWithShape="1">
            <a:gsLst>
              <a:gs pos="0">
                <a:schemeClr val="tx2">
                  <a:lumMod val="25000"/>
                  <a:lumOff val="75000"/>
                </a:schemeClr>
              </a:gs>
              <a:gs pos="45000">
                <a:schemeClr val="tx2">
                  <a:lumMod val="75000"/>
                  <a:lumOff val="25000"/>
                </a:schemeClr>
              </a:gs>
              <a:gs pos="98000">
                <a:schemeClr val="tx2">
                  <a:lumMod val="90000"/>
                  <a:lumOff val="10000"/>
                </a:schemeClr>
              </a:gs>
            </a:gsLst>
            <a:lin ang="5400000" scaled="1"/>
          </a:gradFill>
          <a:ln>
            <a:gradFill>
              <a:gsLst>
                <a:gs pos="0">
                  <a:schemeClr val="accent1">
                    <a:lumMod val="5000"/>
                    <a:lumOff val="95000"/>
                  </a:schemeClr>
                </a:gs>
                <a:gs pos="54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PivotTable1!$B$3</c:f>
              <c:strCache>
                <c:ptCount val="1"/>
                <c:pt idx="0">
                  <c:v>Total</c:v>
                </c:pt>
              </c:strCache>
            </c:strRef>
          </c:tx>
          <c:spPr>
            <a:gradFill rotWithShape="1">
              <a:gsLst>
                <a:gs pos="0">
                  <a:schemeClr val="tx2">
                    <a:lumMod val="25000"/>
                    <a:lumOff val="75000"/>
                  </a:schemeClr>
                </a:gs>
                <a:gs pos="45000">
                  <a:schemeClr val="tx2">
                    <a:lumMod val="75000"/>
                    <a:lumOff val="25000"/>
                  </a:schemeClr>
                </a:gs>
                <a:gs pos="98000">
                  <a:schemeClr val="tx2">
                    <a:lumMod val="90000"/>
                    <a:lumOff val="10000"/>
                  </a:schemeClr>
                </a:gs>
              </a:gsLst>
              <a:lin ang="5400000" scaled="1"/>
            </a:gradFill>
            <a:ln>
              <a:gradFill>
                <a:gsLst>
                  <a:gs pos="0">
                    <a:schemeClr val="accent1">
                      <a:lumMod val="5000"/>
                      <a:lumOff val="95000"/>
                    </a:schemeClr>
                  </a:gs>
                  <a:gs pos="54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rgbClr val="000000">
                  <a:alpha val="63000"/>
                </a:srgbClr>
              </a:outerShdw>
            </a:effectLst>
          </c:spPr>
          <c:invertIfNegative val="0"/>
          <c:cat>
            <c:strRef>
              <c:f>PivotTable1!$A$4:$A$14</c:f>
              <c:strCache>
                <c:ptCount val="10"/>
                <c:pt idx="0">
                  <c:v>Action</c:v>
                </c:pt>
                <c:pt idx="1">
                  <c:v>Comedy</c:v>
                </c:pt>
                <c:pt idx="2">
                  <c:v>Adventure</c:v>
                </c:pt>
                <c:pt idx="3">
                  <c:v>Drama</c:v>
                </c:pt>
                <c:pt idx="4">
                  <c:v>Romance</c:v>
                </c:pt>
                <c:pt idx="5">
                  <c:v>Fantasy</c:v>
                </c:pt>
                <c:pt idx="6">
                  <c:v>Award Winning</c:v>
                </c:pt>
                <c:pt idx="7">
                  <c:v>Slice of Life</c:v>
                </c:pt>
                <c:pt idx="8">
                  <c:v>Sports</c:v>
                </c:pt>
                <c:pt idx="9">
                  <c:v>Mystery</c:v>
                </c:pt>
              </c:strCache>
            </c:strRef>
          </c:cat>
          <c:val>
            <c:numRef>
              <c:f>PivotTable1!$B$4:$B$14</c:f>
              <c:numCache>
                <c:formatCode>General</c:formatCode>
                <c:ptCount val="10"/>
                <c:pt idx="0">
                  <c:v>64171555</c:v>
                </c:pt>
                <c:pt idx="1">
                  <c:v>17804003</c:v>
                </c:pt>
                <c:pt idx="2">
                  <c:v>16040784</c:v>
                </c:pt>
                <c:pt idx="3">
                  <c:v>13494870</c:v>
                </c:pt>
                <c:pt idx="4">
                  <c:v>7711300</c:v>
                </c:pt>
                <c:pt idx="5">
                  <c:v>3460699</c:v>
                </c:pt>
                <c:pt idx="6">
                  <c:v>1745507</c:v>
                </c:pt>
                <c:pt idx="7">
                  <c:v>1717014</c:v>
                </c:pt>
                <c:pt idx="8">
                  <c:v>1632678</c:v>
                </c:pt>
                <c:pt idx="9">
                  <c:v>1339814</c:v>
                </c:pt>
              </c:numCache>
            </c:numRef>
          </c:val>
          <c:extLst>
            <c:ext xmlns:c16="http://schemas.microsoft.com/office/drawing/2014/chart" uri="{C3380CC4-5D6E-409C-BE32-E72D297353CC}">
              <c16:uniqueId val="{00000000-8C3B-45E1-B891-DAEAF9B1BC46}"/>
            </c:ext>
          </c:extLst>
        </c:ser>
        <c:dLbls>
          <c:showLegendKey val="0"/>
          <c:showVal val="0"/>
          <c:showCatName val="0"/>
          <c:showSerName val="0"/>
          <c:showPercent val="0"/>
          <c:showBubbleSize val="0"/>
        </c:dLbls>
        <c:gapWidth val="100"/>
        <c:overlap val="-24"/>
        <c:axId val="315905568"/>
        <c:axId val="315905088"/>
      </c:barChart>
      <c:catAx>
        <c:axId val="3159055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15905088"/>
        <c:crosses val="autoZero"/>
        <c:auto val="1"/>
        <c:lblAlgn val="ctr"/>
        <c:lblOffset val="100"/>
        <c:noMultiLvlLbl val="0"/>
      </c:catAx>
      <c:valAx>
        <c:axId val="315905088"/>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crossAx val="31590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A47">
        <a:alpha val="65098"/>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[AnimeDashboard.xlsx]PivotTable1!PivotTable2</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PivotTable1!$B$21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4A3-4838-8335-45025532A0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A3-4838-8335-45025532A0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4A3-4838-8335-45025532A0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4A3-4838-8335-45025532A02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4A3-4838-8335-45025532A02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4A3-4838-8335-45025532A02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4A3-4838-8335-45025532A02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4A3-4838-8335-45025532A02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4A3-4838-8335-45025532A02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4A3-4838-8335-45025532A02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4A3-4838-8335-45025532A0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PivotTable1!$A$22:$A$33</c:f>
              <c:strCache>
                <c:ptCount val="11"/>
                <c:pt idx="0">
                  <c:v>Action</c:v>
                </c:pt>
                <c:pt idx="1">
                  <c:v>Adventure</c:v>
                </c:pt>
                <c:pt idx="2">
                  <c:v>Boys Love</c:v>
                </c:pt>
                <c:pt idx="3">
                  <c:v>Comedy</c:v>
                </c:pt>
                <c:pt idx="4">
                  <c:v>Drama</c:v>
                </c:pt>
                <c:pt idx="5">
                  <c:v>Fantasy</c:v>
                </c:pt>
                <c:pt idx="6">
                  <c:v>Mystery</c:v>
                </c:pt>
                <c:pt idx="7">
                  <c:v>Romance</c:v>
                </c:pt>
                <c:pt idx="8">
                  <c:v>Sci-Fi</c:v>
                </c:pt>
                <c:pt idx="9">
                  <c:v>Slice of Life</c:v>
                </c:pt>
                <c:pt idx="10">
                  <c:v>Sports</c:v>
                </c:pt>
              </c:strCache>
            </c:strRef>
          </c:cat>
          <c:val>
            <c:numRef>
              <c:f>PivotTable1!$B$22:$B$33</c:f>
              <c:numCache>
                <c:formatCode>General</c:formatCode>
                <c:ptCount val="11"/>
                <c:pt idx="0">
                  <c:v>268</c:v>
                </c:pt>
                <c:pt idx="1">
                  <c:v>53</c:v>
                </c:pt>
                <c:pt idx="2">
                  <c:v>8</c:v>
                </c:pt>
                <c:pt idx="3">
                  <c:v>119</c:v>
                </c:pt>
                <c:pt idx="4">
                  <c:v>51</c:v>
                </c:pt>
                <c:pt idx="5">
                  <c:v>39</c:v>
                </c:pt>
                <c:pt idx="6">
                  <c:v>8</c:v>
                </c:pt>
                <c:pt idx="7">
                  <c:v>22</c:v>
                </c:pt>
                <c:pt idx="8">
                  <c:v>11</c:v>
                </c:pt>
                <c:pt idx="9">
                  <c:v>22</c:v>
                </c:pt>
                <c:pt idx="10">
                  <c:v>5</c:v>
                </c:pt>
              </c:numCache>
            </c:numRef>
          </c:val>
          <c:extLst>
            <c:ext xmlns:c16="http://schemas.microsoft.com/office/drawing/2014/chart" uri="{C3380CC4-5D6E-409C-BE32-E72D297353CC}">
              <c16:uniqueId val="{00000000-8A7E-4656-A4FC-69C4BE3E89E4}"/>
            </c:ext>
          </c:extLst>
        </c:ser>
        <c:dLbls>
          <c:showLegendKey val="0"/>
          <c:showVal val="0"/>
          <c:showCatName val="0"/>
          <c:showSerName val="0"/>
          <c:showPercent val="1"/>
          <c:showBubbleSize val="0"/>
          <c:showLeaderLines val="1"/>
        </c:dLbls>
        <c:firstSliceAng val="0"/>
        <c:holeSize val="67"/>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A47">
        <a:alpha val="65098"/>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[AnimeDashboard.xlsx]PivotTable1!PivotTable3</c:name>
    <c:fmtId val="29"/>
  </c:pivotSource>
  <c:chart>
    <c:autoTitleDeleted val="1"/>
    <c:pivotFmts>
      <c:pivotFmt>
        <c:idx val="0"/>
        <c:spPr>
          <a:gradFill>
            <a:gsLst>
              <a:gs pos="0">
                <a:srgbClr val="F273B8"/>
              </a:gs>
              <a:gs pos="48000">
                <a:srgbClr val="CD7ED8"/>
              </a:gs>
              <a:gs pos="100000">
                <a:srgbClr val="A88BF9"/>
              </a:gs>
            </a:gsLst>
            <a:lin ang="0" scaled="1"/>
          </a:gra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PivotTable1!$B$47</c:f>
              <c:strCache>
                <c:ptCount val="1"/>
                <c:pt idx="0">
                  <c:v>Total</c:v>
                </c:pt>
              </c:strCache>
            </c:strRef>
          </c:tx>
          <c:spPr>
            <a:gradFill>
              <a:gsLst>
                <a:gs pos="0">
                  <a:srgbClr val="F273B8"/>
                </a:gs>
                <a:gs pos="48000">
                  <a:srgbClr val="CD7ED8"/>
                </a:gs>
                <a:gs pos="100000">
                  <a:srgbClr val="A88BF9"/>
                </a:gs>
              </a:gsLst>
              <a:lin ang="0" scaled="1"/>
            </a:gra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PivotTable1!$A$48:$A$58</c:f>
              <c:strCache>
                <c:ptCount val="10"/>
                <c:pt idx="0">
                  <c:v>Shingeki no Kyojin: The Final Season</c:v>
                </c:pt>
                <c:pt idx="1">
                  <c:v>Vinland Saga Season 2</c:v>
                </c:pt>
                <c:pt idx="2">
                  <c:v>Kusuriya no Hitorigoto</c:v>
                </c:pt>
                <c:pt idx="3">
                  <c:v>Kusuriya no Hitorigoto 2nd Season</c:v>
                </c:pt>
                <c:pt idx="4">
                  <c:v>Fruits Basket: The Final</c:v>
                </c:pt>
                <c:pt idx="5">
                  <c:v>Sousou no Frieren 2nd Season</c:v>
                </c:pt>
                <c:pt idx="6">
                  <c:v>Bleach: Sennen Kessen-hen</c:v>
                </c:pt>
                <c:pt idx="7">
                  <c:v>Chainsaw Man Movie: Reze-hen</c:v>
                </c:pt>
                <c:pt idx="8">
                  <c:v>Steel Ball Run: JoJo no Kimyou na Bouken</c:v>
                </c:pt>
                <c:pt idx="9">
                  <c:v>Sousou no Frieren</c:v>
                </c:pt>
              </c:strCache>
            </c:strRef>
          </c:cat>
          <c:val>
            <c:numRef>
              <c:f>PivotTable1!$B$48:$B$58</c:f>
              <c:numCache>
                <c:formatCode>General</c:formatCode>
                <c:ptCount val="10"/>
                <c:pt idx="0">
                  <c:v>8.7899999999999991</c:v>
                </c:pt>
                <c:pt idx="1">
                  <c:v>8.82</c:v>
                </c:pt>
                <c:pt idx="2">
                  <c:v>8.85</c:v>
                </c:pt>
                <c:pt idx="3">
                  <c:v>8.91</c:v>
                </c:pt>
                <c:pt idx="4">
                  <c:v>8.94</c:v>
                </c:pt>
                <c:pt idx="5">
                  <c:v>8.9600000000000009</c:v>
                </c:pt>
                <c:pt idx="6">
                  <c:v>8.98</c:v>
                </c:pt>
                <c:pt idx="7">
                  <c:v>9.09</c:v>
                </c:pt>
                <c:pt idx="8">
                  <c:v>9.18</c:v>
                </c:pt>
                <c:pt idx="9">
                  <c:v>9.27</c:v>
                </c:pt>
              </c:numCache>
            </c:numRef>
          </c:val>
          <c:extLst>
            <c:ext xmlns:c16="http://schemas.microsoft.com/office/drawing/2014/chart" uri="{C3380CC4-5D6E-409C-BE32-E72D297353CC}">
              <c16:uniqueId val="{00000000-9974-4B71-B737-B160541B0D9B}"/>
            </c:ext>
          </c:extLst>
        </c:ser>
        <c:dLbls>
          <c:dLblPos val="inEnd"/>
          <c:showLegendKey val="0"/>
          <c:showVal val="1"/>
          <c:showCatName val="0"/>
          <c:showSerName val="0"/>
          <c:showPercent val="0"/>
          <c:showBubbleSize val="0"/>
        </c:dLbls>
        <c:gapWidth val="65"/>
        <c:axId val="511940351"/>
        <c:axId val="511947551"/>
      </c:barChart>
      <c:catAx>
        <c:axId val="51194035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511947551"/>
        <c:crosses val="autoZero"/>
        <c:auto val="1"/>
        <c:lblAlgn val="ctr"/>
        <c:lblOffset val="100"/>
        <c:noMultiLvlLbl val="0"/>
      </c:catAx>
      <c:valAx>
        <c:axId val="511947551"/>
        <c:scaling>
          <c:orientation val="minMax"/>
          <c:max val="10"/>
          <c:min val="5"/>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1194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A47">
        <a:alpha val="65098"/>
      </a:srgb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maindata!$B$2:$B$624</c:f>
              <c:numCache>
                <c:formatCode>General</c:formatCode>
                <c:ptCount val="623"/>
                <c:pt idx="0">
                  <c:v>482000</c:v>
                </c:pt>
                <c:pt idx="1">
                  <c:v>441000</c:v>
                </c:pt>
                <c:pt idx="2">
                  <c:v>344000</c:v>
                </c:pt>
                <c:pt idx="3">
                  <c:v>275000</c:v>
                </c:pt>
                <c:pt idx="4">
                  <c:v>243000</c:v>
                </c:pt>
                <c:pt idx="5">
                  <c:v>171000</c:v>
                </c:pt>
                <c:pt idx="6">
                  <c:v>157000</c:v>
                </c:pt>
                <c:pt idx="7">
                  <c:v>114000</c:v>
                </c:pt>
                <c:pt idx="8">
                  <c:v>94000</c:v>
                </c:pt>
                <c:pt idx="9">
                  <c:v>93000</c:v>
                </c:pt>
                <c:pt idx="10">
                  <c:v>84000</c:v>
                </c:pt>
                <c:pt idx="11">
                  <c:v>80000</c:v>
                </c:pt>
                <c:pt idx="12">
                  <c:v>74000</c:v>
                </c:pt>
                <c:pt idx="13">
                  <c:v>73000</c:v>
                </c:pt>
                <c:pt idx="14">
                  <c:v>71000</c:v>
                </c:pt>
                <c:pt idx="15">
                  <c:v>70000</c:v>
                </c:pt>
                <c:pt idx="16">
                  <c:v>68000</c:v>
                </c:pt>
                <c:pt idx="17">
                  <c:v>65000</c:v>
                </c:pt>
                <c:pt idx="18">
                  <c:v>63000</c:v>
                </c:pt>
                <c:pt idx="19">
                  <c:v>55000</c:v>
                </c:pt>
                <c:pt idx="20">
                  <c:v>48000</c:v>
                </c:pt>
                <c:pt idx="21">
                  <c:v>47000</c:v>
                </c:pt>
                <c:pt idx="22">
                  <c:v>45000</c:v>
                </c:pt>
                <c:pt idx="23">
                  <c:v>44000</c:v>
                </c:pt>
                <c:pt idx="24">
                  <c:v>42000</c:v>
                </c:pt>
                <c:pt idx="25">
                  <c:v>41000</c:v>
                </c:pt>
                <c:pt idx="26">
                  <c:v>40000</c:v>
                </c:pt>
                <c:pt idx="27">
                  <c:v>39000</c:v>
                </c:pt>
                <c:pt idx="28">
                  <c:v>38000</c:v>
                </c:pt>
                <c:pt idx="29">
                  <c:v>37000</c:v>
                </c:pt>
                <c:pt idx="30">
                  <c:v>34000</c:v>
                </c:pt>
                <c:pt idx="31">
                  <c:v>33000</c:v>
                </c:pt>
                <c:pt idx="32">
                  <c:v>30000</c:v>
                </c:pt>
                <c:pt idx="33">
                  <c:v>25000</c:v>
                </c:pt>
                <c:pt idx="34">
                  <c:v>24000</c:v>
                </c:pt>
                <c:pt idx="35">
                  <c:v>22000</c:v>
                </c:pt>
                <c:pt idx="36">
                  <c:v>20000</c:v>
                </c:pt>
                <c:pt idx="37">
                  <c:v>13000</c:v>
                </c:pt>
                <c:pt idx="38">
                  <c:v>9000</c:v>
                </c:pt>
                <c:pt idx="39">
                  <c:v>8900</c:v>
                </c:pt>
                <c:pt idx="40">
                  <c:v>7200</c:v>
                </c:pt>
                <c:pt idx="41">
                  <c:v>7100</c:v>
                </c:pt>
                <c:pt idx="42">
                  <c:v>6300</c:v>
                </c:pt>
                <c:pt idx="43">
                  <c:v>4600</c:v>
                </c:pt>
                <c:pt idx="44">
                  <c:v>4100</c:v>
                </c:pt>
                <c:pt idx="45">
                  <c:v>2600</c:v>
                </c:pt>
                <c:pt idx="46">
                  <c:v>2100</c:v>
                </c:pt>
                <c:pt idx="47">
                  <c:v>1600</c:v>
                </c:pt>
                <c:pt idx="48">
                  <c:v>2700000</c:v>
                </c:pt>
                <c:pt idx="49">
                  <c:v>377000</c:v>
                </c:pt>
                <c:pt idx="50">
                  <c:v>148000</c:v>
                </c:pt>
                <c:pt idx="51">
                  <c:v>81000</c:v>
                </c:pt>
                <c:pt idx="52">
                  <c:v>60000</c:v>
                </c:pt>
                <c:pt idx="53">
                  <c:v>49000</c:v>
                </c:pt>
                <c:pt idx="54">
                  <c:v>17000</c:v>
                </c:pt>
                <c:pt idx="55">
                  <c:v>10000</c:v>
                </c:pt>
                <c:pt idx="56">
                  <c:v>9300</c:v>
                </c:pt>
                <c:pt idx="57">
                  <c:v>8800</c:v>
                </c:pt>
                <c:pt idx="58">
                  <c:v>8500</c:v>
                </c:pt>
                <c:pt idx="59">
                  <c:v>7500</c:v>
                </c:pt>
                <c:pt idx="60">
                  <c:v>6500</c:v>
                </c:pt>
                <c:pt idx="61">
                  <c:v>3900</c:v>
                </c:pt>
                <c:pt idx="62">
                  <c:v>182000</c:v>
                </c:pt>
                <c:pt idx="63">
                  <c:v>79000</c:v>
                </c:pt>
                <c:pt idx="64">
                  <c:v>50000</c:v>
                </c:pt>
                <c:pt idx="65">
                  <c:v>28000</c:v>
                </c:pt>
                <c:pt idx="66">
                  <c:v>15000</c:v>
                </c:pt>
                <c:pt idx="67">
                  <c:v>14000</c:v>
                </c:pt>
                <c:pt idx="68">
                  <c:v>12000</c:v>
                </c:pt>
                <c:pt idx="69">
                  <c:v>11000</c:v>
                </c:pt>
                <c:pt idx="70">
                  <c:v>6900</c:v>
                </c:pt>
                <c:pt idx="71">
                  <c:v>5900</c:v>
                </c:pt>
                <c:pt idx="72">
                  <c:v>5000</c:v>
                </c:pt>
                <c:pt idx="73">
                  <c:v>3800</c:v>
                </c:pt>
                <c:pt idx="74">
                  <c:v>3400</c:v>
                </c:pt>
                <c:pt idx="75">
                  <c:v>1700</c:v>
                </c:pt>
                <c:pt idx="76">
                  <c:v>1200</c:v>
                </c:pt>
                <c:pt idx="77">
                  <c:v>945</c:v>
                </c:pt>
                <c:pt idx="78">
                  <c:v>915</c:v>
                </c:pt>
                <c:pt idx="79">
                  <c:v>755</c:v>
                </c:pt>
                <c:pt idx="80">
                  <c:v>654</c:v>
                </c:pt>
                <c:pt idx="81">
                  <c:v>651</c:v>
                </c:pt>
                <c:pt idx="82">
                  <c:v>348</c:v>
                </c:pt>
                <c:pt idx="83">
                  <c:v>16000</c:v>
                </c:pt>
                <c:pt idx="84">
                  <c:v>9100</c:v>
                </c:pt>
                <c:pt idx="85">
                  <c:v>2700</c:v>
                </c:pt>
                <c:pt idx="86">
                  <c:v>31000</c:v>
                </c:pt>
                <c:pt idx="87">
                  <c:v>5700</c:v>
                </c:pt>
                <c:pt idx="88">
                  <c:v>2400</c:v>
                </c:pt>
                <c:pt idx="89">
                  <c:v>1400</c:v>
                </c:pt>
                <c:pt idx="90">
                  <c:v>146000</c:v>
                </c:pt>
                <c:pt idx="91">
                  <c:v>108000</c:v>
                </c:pt>
                <c:pt idx="92">
                  <c:v>102000</c:v>
                </c:pt>
                <c:pt idx="93">
                  <c:v>57000</c:v>
                </c:pt>
                <c:pt idx="94">
                  <c:v>56000</c:v>
                </c:pt>
                <c:pt idx="95">
                  <c:v>35000</c:v>
                </c:pt>
                <c:pt idx="96">
                  <c:v>32000</c:v>
                </c:pt>
                <c:pt idx="97">
                  <c:v>23000</c:v>
                </c:pt>
                <c:pt idx="98">
                  <c:v>18000</c:v>
                </c:pt>
                <c:pt idx="99">
                  <c:v>53000</c:v>
                </c:pt>
                <c:pt idx="100">
                  <c:v>763000</c:v>
                </c:pt>
                <c:pt idx="101">
                  <c:v>495000</c:v>
                </c:pt>
                <c:pt idx="102">
                  <c:v>487000</c:v>
                </c:pt>
                <c:pt idx="103">
                  <c:v>299000</c:v>
                </c:pt>
                <c:pt idx="104">
                  <c:v>173000</c:v>
                </c:pt>
                <c:pt idx="105">
                  <c:v>169000</c:v>
                </c:pt>
                <c:pt idx="106">
                  <c:v>163000</c:v>
                </c:pt>
                <c:pt idx="107">
                  <c:v>151000</c:v>
                </c:pt>
                <c:pt idx="108">
                  <c:v>147000</c:v>
                </c:pt>
                <c:pt idx="109">
                  <c:v>135000</c:v>
                </c:pt>
                <c:pt idx="110">
                  <c:v>130000</c:v>
                </c:pt>
                <c:pt idx="111">
                  <c:v>129000</c:v>
                </c:pt>
                <c:pt idx="112">
                  <c:v>125000</c:v>
                </c:pt>
                <c:pt idx="113">
                  <c:v>123000</c:v>
                </c:pt>
                <c:pt idx="114">
                  <c:v>120000</c:v>
                </c:pt>
                <c:pt idx="115">
                  <c:v>112000</c:v>
                </c:pt>
                <c:pt idx="116">
                  <c:v>100000</c:v>
                </c:pt>
                <c:pt idx="117">
                  <c:v>99000</c:v>
                </c:pt>
                <c:pt idx="118">
                  <c:v>98000</c:v>
                </c:pt>
                <c:pt idx="119">
                  <c:v>89000</c:v>
                </c:pt>
                <c:pt idx="120">
                  <c:v>85000</c:v>
                </c:pt>
                <c:pt idx="121">
                  <c:v>72000</c:v>
                </c:pt>
                <c:pt idx="122">
                  <c:v>67000</c:v>
                </c:pt>
                <c:pt idx="123">
                  <c:v>62000</c:v>
                </c:pt>
                <c:pt idx="124">
                  <c:v>26000</c:v>
                </c:pt>
                <c:pt idx="125">
                  <c:v>5800</c:v>
                </c:pt>
                <c:pt idx="126">
                  <c:v>5500</c:v>
                </c:pt>
                <c:pt idx="127">
                  <c:v>490000</c:v>
                </c:pt>
                <c:pt idx="128">
                  <c:v>325000</c:v>
                </c:pt>
                <c:pt idx="129">
                  <c:v>286000</c:v>
                </c:pt>
                <c:pt idx="130">
                  <c:v>259000</c:v>
                </c:pt>
                <c:pt idx="131">
                  <c:v>216000</c:v>
                </c:pt>
                <c:pt idx="132">
                  <c:v>200000</c:v>
                </c:pt>
                <c:pt idx="133">
                  <c:v>136000</c:v>
                </c:pt>
                <c:pt idx="134">
                  <c:v>111000</c:v>
                </c:pt>
                <c:pt idx="135">
                  <c:v>109000</c:v>
                </c:pt>
                <c:pt idx="136">
                  <c:v>7900</c:v>
                </c:pt>
                <c:pt idx="137">
                  <c:v>6700</c:v>
                </c:pt>
                <c:pt idx="138">
                  <c:v>54000</c:v>
                </c:pt>
                <c:pt idx="139">
                  <c:v>994</c:v>
                </c:pt>
                <c:pt idx="140">
                  <c:v>954</c:v>
                </c:pt>
                <c:pt idx="141">
                  <c:v>777</c:v>
                </c:pt>
                <c:pt idx="142">
                  <c:v>659</c:v>
                </c:pt>
                <c:pt idx="143">
                  <c:v>620</c:v>
                </c:pt>
                <c:pt idx="144">
                  <c:v>594</c:v>
                </c:pt>
                <c:pt idx="145">
                  <c:v>570</c:v>
                </c:pt>
                <c:pt idx="146">
                  <c:v>523</c:v>
                </c:pt>
                <c:pt idx="147">
                  <c:v>514</c:v>
                </c:pt>
                <c:pt idx="148">
                  <c:v>513</c:v>
                </c:pt>
                <c:pt idx="149">
                  <c:v>500</c:v>
                </c:pt>
                <c:pt idx="150">
                  <c:v>486</c:v>
                </c:pt>
                <c:pt idx="151">
                  <c:v>438</c:v>
                </c:pt>
                <c:pt idx="152">
                  <c:v>423</c:v>
                </c:pt>
                <c:pt idx="153">
                  <c:v>9500</c:v>
                </c:pt>
                <c:pt idx="154">
                  <c:v>8300</c:v>
                </c:pt>
                <c:pt idx="155">
                  <c:v>3000</c:v>
                </c:pt>
                <c:pt idx="156">
                  <c:v>938</c:v>
                </c:pt>
                <c:pt idx="157">
                  <c:v>534000</c:v>
                </c:pt>
                <c:pt idx="158">
                  <c:v>472000</c:v>
                </c:pt>
                <c:pt idx="159">
                  <c:v>454000</c:v>
                </c:pt>
                <c:pt idx="160">
                  <c:v>436000</c:v>
                </c:pt>
                <c:pt idx="161">
                  <c:v>356000</c:v>
                </c:pt>
                <c:pt idx="162">
                  <c:v>287000</c:v>
                </c:pt>
                <c:pt idx="163">
                  <c:v>246000</c:v>
                </c:pt>
                <c:pt idx="164">
                  <c:v>237000</c:v>
                </c:pt>
                <c:pt idx="165">
                  <c:v>209000</c:v>
                </c:pt>
                <c:pt idx="166">
                  <c:v>208000</c:v>
                </c:pt>
                <c:pt idx="167">
                  <c:v>194000</c:v>
                </c:pt>
                <c:pt idx="168">
                  <c:v>191000</c:v>
                </c:pt>
                <c:pt idx="169">
                  <c:v>188000</c:v>
                </c:pt>
                <c:pt idx="170">
                  <c:v>175000</c:v>
                </c:pt>
                <c:pt idx="171">
                  <c:v>137000</c:v>
                </c:pt>
                <c:pt idx="172">
                  <c:v>121000</c:v>
                </c:pt>
                <c:pt idx="173">
                  <c:v>106000</c:v>
                </c:pt>
                <c:pt idx="174">
                  <c:v>91000</c:v>
                </c:pt>
                <c:pt idx="175">
                  <c:v>86000</c:v>
                </c:pt>
                <c:pt idx="176">
                  <c:v>83000</c:v>
                </c:pt>
                <c:pt idx="177">
                  <c:v>69000</c:v>
                </c:pt>
                <c:pt idx="178">
                  <c:v>64000</c:v>
                </c:pt>
                <c:pt idx="179">
                  <c:v>3500</c:v>
                </c:pt>
                <c:pt idx="180">
                  <c:v>205000</c:v>
                </c:pt>
                <c:pt idx="181">
                  <c:v>43000</c:v>
                </c:pt>
                <c:pt idx="182">
                  <c:v>304000</c:v>
                </c:pt>
                <c:pt idx="183">
                  <c:v>242000</c:v>
                </c:pt>
                <c:pt idx="184">
                  <c:v>199000</c:v>
                </c:pt>
                <c:pt idx="185">
                  <c:v>695</c:v>
                </c:pt>
                <c:pt idx="186">
                  <c:v>662</c:v>
                </c:pt>
                <c:pt idx="187">
                  <c:v>656</c:v>
                </c:pt>
                <c:pt idx="188">
                  <c:v>605</c:v>
                </c:pt>
                <c:pt idx="189">
                  <c:v>588</c:v>
                </c:pt>
                <c:pt idx="190">
                  <c:v>556</c:v>
                </c:pt>
                <c:pt idx="191">
                  <c:v>517</c:v>
                </c:pt>
                <c:pt idx="192">
                  <c:v>444000</c:v>
                </c:pt>
                <c:pt idx="193">
                  <c:v>360000</c:v>
                </c:pt>
                <c:pt idx="194">
                  <c:v>66000</c:v>
                </c:pt>
                <c:pt idx="195">
                  <c:v>2800</c:v>
                </c:pt>
                <c:pt idx="196">
                  <c:v>953</c:v>
                </c:pt>
                <c:pt idx="197">
                  <c:v>9600</c:v>
                </c:pt>
                <c:pt idx="198">
                  <c:v>601</c:v>
                </c:pt>
                <c:pt idx="199">
                  <c:v>308000</c:v>
                </c:pt>
                <c:pt idx="200">
                  <c:v>224000</c:v>
                </c:pt>
                <c:pt idx="201">
                  <c:v>181000</c:v>
                </c:pt>
                <c:pt idx="202">
                  <c:v>179000</c:v>
                </c:pt>
                <c:pt idx="203">
                  <c:v>160000</c:v>
                </c:pt>
                <c:pt idx="204">
                  <c:v>127000</c:v>
                </c:pt>
                <c:pt idx="205">
                  <c:v>126000</c:v>
                </c:pt>
                <c:pt idx="206">
                  <c:v>118000</c:v>
                </c:pt>
                <c:pt idx="207">
                  <c:v>97000</c:v>
                </c:pt>
                <c:pt idx="208">
                  <c:v>90000</c:v>
                </c:pt>
                <c:pt idx="209">
                  <c:v>88000</c:v>
                </c:pt>
                <c:pt idx="210">
                  <c:v>75000</c:v>
                </c:pt>
                <c:pt idx="211">
                  <c:v>59000</c:v>
                </c:pt>
                <c:pt idx="212">
                  <c:v>6600</c:v>
                </c:pt>
                <c:pt idx="213">
                  <c:v>955</c:v>
                </c:pt>
                <c:pt idx="214">
                  <c:v>888</c:v>
                </c:pt>
                <c:pt idx="215">
                  <c:v>835</c:v>
                </c:pt>
                <c:pt idx="216">
                  <c:v>799</c:v>
                </c:pt>
                <c:pt idx="217">
                  <c:v>734</c:v>
                </c:pt>
                <c:pt idx="218">
                  <c:v>628</c:v>
                </c:pt>
                <c:pt idx="219">
                  <c:v>621</c:v>
                </c:pt>
                <c:pt idx="220">
                  <c:v>551</c:v>
                </c:pt>
                <c:pt idx="221">
                  <c:v>524</c:v>
                </c:pt>
                <c:pt idx="222">
                  <c:v>7000</c:v>
                </c:pt>
                <c:pt idx="223">
                  <c:v>5400</c:v>
                </c:pt>
                <c:pt idx="224">
                  <c:v>972</c:v>
                </c:pt>
                <c:pt idx="225">
                  <c:v>432000</c:v>
                </c:pt>
                <c:pt idx="226">
                  <c:v>332000</c:v>
                </c:pt>
                <c:pt idx="227">
                  <c:v>293000</c:v>
                </c:pt>
                <c:pt idx="228">
                  <c:v>166000</c:v>
                </c:pt>
                <c:pt idx="229">
                  <c:v>161000</c:v>
                </c:pt>
                <c:pt idx="230">
                  <c:v>132000</c:v>
                </c:pt>
                <c:pt idx="231">
                  <c:v>110000</c:v>
                </c:pt>
                <c:pt idx="232">
                  <c:v>105000</c:v>
                </c:pt>
                <c:pt idx="233">
                  <c:v>104000</c:v>
                </c:pt>
                <c:pt idx="234">
                  <c:v>78000</c:v>
                </c:pt>
                <c:pt idx="235">
                  <c:v>76000</c:v>
                </c:pt>
                <c:pt idx="236">
                  <c:v>61000</c:v>
                </c:pt>
                <c:pt idx="237">
                  <c:v>5300</c:v>
                </c:pt>
                <c:pt idx="238">
                  <c:v>911</c:v>
                </c:pt>
                <c:pt idx="239">
                  <c:v>871</c:v>
                </c:pt>
                <c:pt idx="240">
                  <c:v>863</c:v>
                </c:pt>
                <c:pt idx="241">
                  <c:v>756</c:v>
                </c:pt>
                <c:pt idx="242">
                  <c:v>749</c:v>
                </c:pt>
                <c:pt idx="243">
                  <c:v>746</c:v>
                </c:pt>
                <c:pt idx="244">
                  <c:v>451</c:v>
                </c:pt>
                <c:pt idx="245">
                  <c:v>7700</c:v>
                </c:pt>
                <c:pt idx="246">
                  <c:v>1100000</c:v>
                </c:pt>
                <c:pt idx="247">
                  <c:v>574000</c:v>
                </c:pt>
                <c:pt idx="248">
                  <c:v>523000</c:v>
                </c:pt>
                <c:pt idx="249">
                  <c:v>504000</c:v>
                </c:pt>
                <c:pt idx="250">
                  <c:v>342000</c:v>
                </c:pt>
                <c:pt idx="251">
                  <c:v>330000</c:v>
                </c:pt>
                <c:pt idx="252">
                  <c:v>321000</c:v>
                </c:pt>
                <c:pt idx="253">
                  <c:v>305000</c:v>
                </c:pt>
                <c:pt idx="254">
                  <c:v>267000</c:v>
                </c:pt>
                <c:pt idx="255">
                  <c:v>233000</c:v>
                </c:pt>
                <c:pt idx="256">
                  <c:v>221000</c:v>
                </c:pt>
                <c:pt idx="257">
                  <c:v>206000</c:v>
                </c:pt>
                <c:pt idx="258">
                  <c:v>203000</c:v>
                </c:pt>
                <c:pt idx="259">
                  <c:v>190000</c:v>
                </c:pt>
                <c:pt idx="260">
                  <c:v>189000</c:v>
                </c:pt>
                <c:pt idx="261">
                  <c:v>183000</c:v>
                </c:pt>
                <c:pt idx="262">
                  <c:v>155000</c:v>
                </c:pt>
                <c:pt idx="263">
                  <c:v>143000</c:v>
                </c:pt>
                <c:pt idx="264">
                  <c:v>141000</c:v>
                </c:pt>
                <c:pt idx="265">
                  <c:v>134000</c:v>
                </c:pt>
                <c:pt idx="266">
                  <c:v>117000</c:v>
                </c:pt>
                <c:pt idx="267">
                  <c:v>116000</c:v>
                </c:pt>
                <c:pt idx="268">
                  <c:v>107000</c:v>
                </c:pt>
                <c:pt idx="269">
                  <c:v>96000</c:v>
                </c:pt>
                <c:pt idx="270">
                  <c:v>52000</c:v>
                </c:pt>
                <c:pt idx="271">
                  <c:v>962</c:v>
                </c:pt>
                <c:pt idx="272">
                  <c:v>1400000</c:v>
                </c:pt>
                <c:pt idx="273">
                  <c:v>821000</c:v>
                </c:pt>
                <c:pt idx="274">
                  <c:v>455000</c:v>
                </c:pt>
                <c:pt idx="275">
                  <c:v>346000</c:v>
                </c:pt>
                <c:pt idx="276">
                  <c:v>280000</c:v>
                </c:pt>
                <c:pt idx="277">
                  <c:v>8600</c:v>
                </c:pt>
                <c:pt idx="278">
                  <c:v>9900</c:v>
                </c:pt>
                <c:pt idx="279">
                  <c:v>854</c:v>
                </c:pt>
                <c:pt idx="280">
                  <c:v>831</c:v>
                </c:pt>
                <c:pt idx="281">
                  <c:v>813</c:v>
                </c:pt>
                <c:pt idx="282">
                  <c:v>805</c:v>
                </c:pt>
                <c:pt idx="283">
                  <c:v>775</c:v>
                </c:pt>
                <c:pt idx="284">
                  <c:v>680</c:v>
                </c:pt>
                <c:pt idx="285">
                  <c:v>559</c:v>
                </c:pt>
                <c:pt idx="286">
                  <c:v>493</c:v>
                </c:pt>
                <c:pt idx="287">
                  <c:v>719</c:v>
                </c:pt>
                <c:pt idx="288">
                  <c:v>313</c:v>
                </c:pt>
                <c:pt idx="289">
                  <c:v>833</c:v>
                </c:pt>
                <c:pt idx="290">
                  <c:v>460</c:v>
                </c:pt>
                <c:pt idx="291">
                  <c:v>511000</c:v>
                </c:pt>
                <c:pt idx="292">
                  <c:v>493000</c:v>
                </c:pt>
                <c:pt idx="293">
                  <c:v>327000</c:v>
                </c:pt>
                <c:pt idx="294">
                  <c:v>290000</c:v>
                </c:pt>
                <c:pt idx="295">
                  <c:v>276000</c:v>
                </c:pt>
                <c:pt idx="296">
                  <c:v>235000</c:v>
                </c:pt>
                <c:pt idx="297">
                  <c:v>227000</c:v>
                </c:pt>
                <c:pt idx="298">
                  <c:v>223000</c:v>
                </c:pt>
                <c:pt idx="299">
                  <c:v>215000</c:v>
                </c:pt>
                <c:pt idx="300">
                  <c:v>159000</c:v>
                </c:pt>
                <c:pt idx="301">
                  <c:v>139000</c:v>
                </c:pt>
                <c:pt idx="302">
                  <c:v>471000</c:v>
                </c:pt>
                <c:pt idx="303">
                  <c:v>470000</c:v>
                </c:pt>
                <c:pt idx="304">
                  <c:v>260000</c:v>
                </c:pt>
                <c:pt idx="305">
                  <c:v>981</c:v>
                </c:pt>
                <c:pt idx="306">
                  <c:v>940</c:v>
                </c:pt>
                <c:pt idx="307">
                  <c:v>884</c:v>
                </c:pt>
                <c:pt idx="308">
                  <c:v>878</c:v>
                </c:pt>
                <c:pt idx="309">
                  <c:v>874</c:v>
                </c:pt>
                <c:pt idx="310">
                  <c:v>811</c:v>
                </c:pt>
                <c:pt idx="311">
                  <c:v>802</c:v>
                </c:pt>
                <c:pt idx="312">
                  <c:v>753</c:v>
                </c:pt>
                <c:pt idx="313">
                  <c:v>742</c:v>
                </c:pt>
                <c:pt idx="314">
                  <c:v>702</c:v>
                </c:pt>
                <c:pt idx="315">
                  <c:v>578</c:v>
                </c:pt>
                <c:pt idx="316">
                  <c:v>480</c:v>
                </c:pt>
                <c:pt idx="317">
                  <c:v>393</c:v>
                </c:pt>
                <c:pt idx="318">
                  <c:v>943</c:v>
                </c:pt>
                <c:pt idx="319">
                  <c:v>762000</c:v>
                </c:pt>
                <c:pt idx="320">
                  <c:v>719000</c:v>
                </c:pt>
                <c:pt idx="321">
                  <c:v>564000</c:v>
                </c:pt>
                <c:pt idx="322">
                  <c:v>545000</c:v>
                </c:pt>
                <c:pt idx="323">
                  <c:v>457000</c:v>
                </c:pt>
                <c:pt idx="324">
                  <c:v>262000</c:v>
                </c:pt>
                <c:pt idx="325">
                  <c:v>249000</c:v>
                </c:pt>
                <c:pt idx="326">
                  <c:v>207000</c:v>
                </c:pt>
                <c:pt idx="327">
                  <c:v>193000</c:v>
                </c:pt>
                <c:pt idx="328">
                  <c:v>186000</c:v>
                </c:pt>
                <c:pt idx="329">
                  <c:v>150000</c:v>
                </c:pt>
                <c:pt idx="330">
                  <c:v>133000</c:v>
                </c:pt>
                <c:pt idx="331">
                  <c:v>103000</c:v>
                </c:pt>
                <c:pt idx="332">
                  <c:v>95000</c:v>
                </c:pt>
                <c:pt idx="333">
                  <c:v>832</c:v>
                </c:pt>
                <c:pt idx="334">
                  <c:v>612</c:v>
                </c:pt>
                <c:pt idx="335">
                  <c:v>986</c:v>
                </c:pt>
                <c:pt idx="336">
                  <c:v>982</c:v>
                </c:pt>
                <c:pt idx="337">
                  <c:v>917</c:v>
                </c:pt>
                <c:pt idx="338">
                  <c:v>794</c:v>
                </c:pt>
                <c:pt idx="339">
                  <c:v>751</c:v>
                </c:pt>
                <c:pt idx="340">
                  <c:v>693</c:v>
                </c:pt>
                <c:pt idx="341">
                  <c:v>671</c:v>
                </c:pt>
                <c:pt idx="342">
                  <c:v>610</c:v>
                </c:pt>
                <c:pt idx="343">
                  <c:v>440</c:v>
                </c:pt>
                <c:pt idx="344">
                  <c:v>428</c:v>
                </c:pt>
                <c:pt idx="345">
                  <c:v>312</c:v>
                </c:pt>
                <c:pt idx="346">
                  <c:v>238000</c:v>
                </c:pt>
                <c:pt idx="347">
                  <c:v>750</c:v>
                </c:pt>
                <c:pt idx="348">
                  <c:v>464</c:v>
                </c:pt>
                <c:pt idx="349">
                  <c:v>445</c:v>
                </c:pt>
                <c:pt idx="350">
                  <c:v>953000</c:v>
                </c:pt>
                <c:pt idx="351">
                  <c:v>291000</c:v>
                </c:pt>
                <c:pt idx="352">
                  <c:v>244000</c:v>
                </c:pt>
                <c:pt idx="353">
                  <c:v>198000</c:v>
                </c:pt>
                <c:pt idx="354">
                  <c:v>167000</c:v>
                </c:pt>
                <c:pt idx="355">
                  <c:v>165000</c:v>
                </c:pt>
                <c:pt idx="356">
                  <c:v>153000</c:v>
                </c:pt>
                <c:pt idx="357">
                  <c:v>138000</c:v>
                </c:pt>
                <c:pt idx="358">
                  <c:v>122000</c:v>
                </c:pt>
                <c:pt idx="359">
                  <c:v>8700</c:v>
                </c:pt>
                <c:pt idx="360">
                  <c:v>848</c:v>
                </c:pt>
                <c:pt idx="361">
                  <c:v>804</c:v>
                </c:pt>
                <c:pt idx="362">
                  <c:v>786</c:v>
                </c:pt>
                <c:pt idx="363">
                  <c:v>768</c:v>
                </c:pt>
                <c:pt idx="364">
                  <c:v>696</c:v>
                </c:pt>
                <c:pt idx="365">
                  <c:v>655</c:v>
                </c:pt>
                <c:pt idx="366">
                  <c:v>644</c:v>
                </c:pt>
                <c:pt idx="367">
                  <c:v>552</c:v>
                </c:pt>
                <c:pt idx="368">
                  <c:v>834</c:v>
                </c:pt>
                <c:pt idx="369">
                  <c:v>585</c:v>
                </c:pt>
                <c:pt idx="370">
                  <c:v>844000</c:v>
                </c:pt>
                <c:pt idx="371">
                  <c:v>505000</c:v>
                </c:pt>
                <c:pt idx="372">
                  <c:v>434000</c:v>
                </c:pt>
                <c:pt idx="373">
                  <c:v>426000</c:v>
                </c:pt>
                <c:pt idx="374">
                  <c:v>405000</c:v>
                </c:pt>
                <c:pt idx="375">
                  <c:v>357000</c:v>
                </c:pt>
                <c:pt idx="376">
                  <c:v>353000</c:v>
                </c:pt>
                <c:pt idx="377">
                  <c:v>336000</c:v>
                </c:pt>
                <c:pt idx="378">
                  <c:v>334000</c:v>
                </c:pt>
                <c:pt idx="379">
                  <c:v>333000</c:v>
                </c:pt>
                <c:pt idx="380">
                  <c:v>292000</c:v>
                </c:pt>
                <c:pt idx="381">
                  <c:v>273000</c:v>
                </c:pt>
                <c:pt idx="382">
                  <c:v>254000</c:v>
                </c:pt>
                <c:pt idx="383">
                  <c:v>234000</c:v>
                </c:pt>
                <c:pt idx="384">
                  <c:v>229000</c:v>
                </c:pt>
                <c:pt idx="385">
                  <c:v>226000</c:v>
                </c:pt>
                <c:pt idx="386">
                  <c:v>187000</c:v>
                </c:pt>
                <c:pt idx="387">
                  <c:v>178000</c:v>
                </c:pt>
                <c:pt idx="388">
                  <c:v>152000</c:v>
                </c:pt>
                <c:pt idx="389">
                  <c:v>142000</c:v>
                </c:pt>
                <c:pt idx="390">
                  <c:v>929000</c:v>
                </c:pt>
                <c:pt idx="391">
                  <c:v>887000</c:v>
                </c:pt>
                <c:pt idx="392">
                  <c:v>856000</c:v>
                </c:pt>
                <c:pt idx="393">
                  <c:v>814000</c:v>
                </c:pt>
                <c:pt idx="394">
                  <c:v>425000</c:v>
                </c:pt>
                <c:pt idx="395">
                  <c:v>338000</c:v>
                </c:pt>
                <c:pt idx="396">
                  <c:v>113000</c:v>
                </c:pt>
                <c:pt idx="397">
                  <c:v>8400</c:v>
                </c:pt>
                <c:pt idx="398">
                  <c:v>796</c:v>
                </c:pt>
                <c:pt idx="399">
                  <c:v>765</c:v>
                </c:pt>
                <c:pt idx="400">
                  <c:v>626</c:v>
                </c:pt>
                <c:pt idx="401">
                  <c:v>624</c:v>
                </c:pt>
                <c:pt idx="402">
                  <c:v>511</c:v>
                </c:pt>
                <c:pt idx="403">
                  <c:v>388</c:v>
                </c:pt>
                <c:pt idx="404">
                  <c:v>747000</c:v>
                </c:pt>
                <c:pt idx="405">
                  <c:v>675000</c:v>
                </c:pt>
                <c:pt idx="406">
                  <c:v>408000</c:v>
                </c:pt>
                <c:pt idx="407">
                  <c:v>380000</c:v>
                </c:pt>
                <c:pt idx="408">
                  <c:v>257000</c:v>
                </c:pt>
                <c:pt idx="409">
                  <c:v>220000</c:v>
                </c:pt>
                <c:pt idx="410">
                  <c:v>184000</c:v>
                </c:pt>
                <c:pt idx="411">
                  <c:v>176000</c:v>
                </c:pt>
                <c:pt idx="412">
                  <c:v>128000</c:v>
                </c:pt>
                <c:pt idx="413">
                  <c:v>124000</c:v>
                </c:pt>
                <c:pt idx="414">
                  <c:v>101000</c:v>
                </c:pt>
                <c:pt idx="415">
                  <c:v>170000</c:v>
                </c:pt>
                <c:pt idx="416">
                  <c:v>77000</c:v>
                </c:pt>
                <c:pt idx="417">
                  <c:v>997</c:v>
                </c:pt>
                <c:pt idx="418">
                  <c:v>993</c:v>
                </c:pt>
                <c:pt idx="419">
                  <c:v>978</c:v>
                </c:pt>
                <c:pt idx="420">
                  <c:v>930</c:v>
                </c:pt>
                <c:pt idx="421">
                  <c:v>865</c:v>
                </c:pt>
                <c:pt idx="422">
                  <c:v>754</c:v>
                </c:pt>
                <c:pt idx="423">
                  <c:v>686</c:v>
                </c:pt>
                <c:pt idx="424">
                  <c:v>618</c:v>
                </c:pt>
                <c:pt idx="425">
                  <c:v>565</c:v>
                </c:pt>
                <c:pt idx="426">
                  <c:v>245000</c:v>
                </c:pt>
                <c:pt idx="427">
                  <c:v>1000000</c:v>
                </c:pt>
                <c:pt idx="428">
                  <c:v>939000</c:v>
                </c:pt>
                <c:pt idx="429">
                  <c:v>786000</c:v>
                </c:pt>
                <c:pt idx="430">
                  <c:v>624000</c:v>
                </c:pt>
                <c:pt idx="431">
                  <c:v>598000</c:v>
                </c:pt>
                <c:pt idx="432">
                  <c:v>543000</c:v>
                </c:pt>
                <c:pt idx="433">
                  <c:v>437000</c:v>
                </c:pt>
                <c:pt idx="434">
                  <c:v>389000</c:v>
                </c:pt>
                <c:pt idx="435">
                  <c:v>387000</c:v>
                </c:pt>
                <c:pt idx="436">
                  <c:v>341000</c:v>
                </c:pt>
                <c:pt idx="437">
                  <c:v>274000</c:v>
                </c:pt>
                <c:pt idx="438">
                  <c:v>218000</c:v>
                </c:pt>
                <c:pt idx="439">
                  <c:v>196000</c:v>
                </c:pt>
                <c:pt idx="440">
                  <c:v>174000</c:v>
                </c:pt>
                <c:pt idx="441">
                  <c:v>164000</c:v>
                </c:pt>
                <c:pt idx="442">
                  <c:v>162000</c:v>
                </c:pt>
                <c:pt idx="443">
                  <c:v>156000</c:v>
                </c:pt>
                <c:pt idx="444">
                  <c:v>902</c:v>
                </c:pt>
                <c:pt idx="445">
                  <c:v>9700</c:v>
                </c:pt>
                <c:pt idx="446">
                  <c:v>916</c:v>
                </c:pt>
                <c:pt idx="447">
                  <c:v>837</c:v>
                </c:pt>
                <c:pt idx="448">
                  <c:v>736</c:v>
                </c:pt>
                <c:pt idx="449">
                  <c:v>268000</c:v>
                </c:pt>
                <c:pt idx="450">
                  <c:v>959</c:v>
                </c:pt>
                <c:pt idx="451">
                  <c:v>672000</c:v>
                </c:pt>
                <c:pt idx="452">
                  <c:v>528000</c:v>
                </c:pt>
                <c:pt idx="453">
                  <c:v>520000</c:v>
                </c:pt>
                <c:pt idx="454">
                  <c:v>423000</c:v>
                </c:pt>
                <c:pt idx="455">
                  <c:v>411000</c:v>
                </c:pt>
                <c:pt idx="456">
                  <c:v>326000</c:v>
                </c:pt>
                <c:pt idx="457">
                  <c:v>270000</c:v>
                </c:pt>
                <c:pt idx="458">
                  <c:v>255000</c:v>
                </c:pt>
                <c:pt idx="459">
                  <c:v>230000</c:v>
                </c:pt>
                <c:pt idx="460">
                  <c:v>177000</c:v>
                </c:pt>
                <c:pt idx="461">
                  <c:v>145000</c:v>
                </c:pt>
                <c:pt idx="462">
                  <c:v>248000</c:v>
                </c:pt>
                <c:pt idx="463">
                  <c:v>973</c:v>
                </c:pt>
                <c:pt idx="464">
                  <c:v>950</c:v>
                </c:pt>
                <c:pt idx="465">
                  <c:v>770</c:v>
                </c:pt>
                <c:pt idx="466">
                  <c:v>691</c:v>
                </c:pt>
                <c:pt idx="467">
                  <c:v>645</c:v>
                </c:pt>
                <c:pt idx="468">
                  <c:v>637</c:v>
                </c:pt>
                <c:pt idx="469">
                  <c:v>634</c:v>
                </c:pt>
                <c:pt idx="470">
                  <c:v>609</c:v>
                </c:pt>
                <c:pt idx="471">
                  <c:v>462</c:v>
                </c:pt>
                <c:pt idx="472">
                  <c:v>461</c:v>
                </c:pt>
                <c:pt idx="473">
                  <c:v>247000</c:v>
                </c:pt>
                <c:pt idx="474">
                  <c:v>1700000</c:v>
                </c:pt>
                <c:pt idx="475">
                  <c:v>1500000</c:v>
                </c:pt>
                <c:pt idx="476">
                  <c:v>1300000</c:v>
                </c:pt>
                <c:pt idx="477">
                  <c:v>459000</c:v>
                </c:pt>
                <c:pt idx="478">
                  <c:v>343000</c:v>
                </c:pt>
                <c:pt idx="479">
                  <c:v>296000</c:v>
                </c:pt>
                <c:pt idx="480">
                  <c:v>278000</c:v>
                </c:pt>
                <c:pt idx="481">
                  <c:v>236000</c:v>
                </c:pt>
                <c:pt idx="482">
                  <c:v>214000</c:v>
                </c:pt>
                <c:pt idx="483">
                  <c:v>211000</c:v>
                </c:pt>
                <c:pt idx="484">
                  <c:v>131000</c:v>
                </c:pt>
                <c:pt idx="485">
                  <c:v>752000</c:v>
                </c:pt>
                <c:pt idx="486">
                  <c:v>636000</c:v>
                </c:pt>
                <c:pt idx="487">
                  <c:v>418000</c:v>
                </c:pt>
                <c:pt idx="488">
                  <c:v>283000</c:v>
                </c:pt>
                <c:pt idx="489">
                  <c:v>204000</c:v>
                </c:pt>
                <c:pt idx="490">
                  <c:v>970</c:v>
                </c:pt>
                <c:pt idx="491">
                  <c:v>927</c:v>
                </c:pt>
                <c:pt idx="492">
                  <c:v>861</c:v>
                </c:pt>
                <c:pt idx="493">
                  <c:v>851</c:v>
                </c:pt>
                <c:pt idx="494">
                  <c:v>715</c:v>
                </c:pt>
                <c:pt idx="495">
                  <c:v>706</c:v>
                </c:pt>
                <c:pt idx="496">
                  <c:v>606</c:v>
                </c:pt>
                <c:pt idx="497">
                  <c:v>791000</c:v>
                </c:pt>
                <c:pt idx="498">
                  <c:v>765000</c:v>
                </c:pt>
                <c:pt idx="499">
                  <c:v>631000</c:v>
                </c:pt>
                <c:pt idx="500">
                  <c:v>591000</c:v>
                </c:pt>
                <c:pt idx="501">
                  <c:v>536000</c:v>
                </c:pt>
                <c:pt idx="502">
                  <c:v>524000</c:v>
                </c:pt>
                <c:pt idx="503">
                  <c:v>473000</c:v>
                </c:pt>
                <c:pt idx="504">
                  <c:v>406000</c:v>
                </c:pt>
                <c:pt idx="505">
                  <c:v>272000</c:v>
                </c:pt>
                <c:pt idx="506">
                  <c:v>261000</c:v>
                </c:pt>
                <c:pt idx="507">
                  <c:v>252000</c:v>
                </c:pt>
                <c:pt idx="508">
                  <c:v>140000</c:v>
                </c:pt>
                <c:pt idx="509">
                  <c:v>351000</c:v>
                </c:pt>
                <c:pt idx="510">
                  <c:v>9400</c:v>
                </c:pt>
                <c:pt idx="511">
                  <c:v>5600</c:v>
                </c:pt>
                <c:pt idx="512">
                  <c:v>897</c:v>
                </c:pt>
                <c:pt idx="513">
                  <c:v>879</c:v>
                </c:pt>
                <c:pt idx="514">
                  <c:v>630</c:v>
                </c:pt>
                <c:pt idx="515">
                  <c:v>581</c:v>
                </c:pt>
                <c:pt idx="516">
                  <c:v>518</c:v>
                </c:pt>
                <c:pt idx="517">
                  <c:v>250000</c:v>
                </c:pt>
                <c:pt idx="518">
                  <c:v>383000</c:v>
                </c:pt>
                <c:pt idx="519">
                  <c:v>733</c:v>
                </c:pt>
                <c:pt idx="520">
                  <c:v>1900000</c:v>
                </c:pt>
                <c:pt idx="521">
                  <c:v>863000</c:v>
                </c:pt>
                <c:pt idx="522">
                  <c:v>554000</c:v>
                </c:pt>
                <c:pt idx="523">
                  <c:v>489000</c:v>
                </c:pt>
                <c:pt idx="524">
                  <c:v>392000</c:v>
                </c:pt>
                <c:pt idx="525">
                  <c:v>372000</c:v>
                </c:pt>
                <c:pt idx="526">
                  <c:v>354000</c:v>
                </c:pt>
                <c:pt idx="527">
                  <c:v>339000</c:v>
                </c:pt>
                <c:pt idx="528">
                  <c:v>329000</c:v>
                </c:pt>
                <c:pt idx="529">
                  <c:v>289000</c:v>
                </c:pt>
                <c:pt idx="530">
                  <c:v>975</c:v>
                </c:pt>
                <c:pt idx="531">
                  <c:v>898</c:v>
                </c:pt>
                <c:pt idx="532">
                  <c:v>862</c:v>
                </c:pt>
                <c:pt idx="533">
                  <c:v>776</c:v>
                </c:pt>
                <c:pt idx="534">
                  <c:v>299</c:v>
                </c:pt>
                <c:pt idx="535">
                  <c:v>317000</c:v>
                </c:pt>
                <c:pt idx="536">
                  <c:v>459</c:v>
                </c:pt>
                <c:pt idx="537">
                  <c:v>399</c:v>
                </c:pt>
                <c:pt idx="538">
                  <c:v>853000</c:v>
                </c:pt>
                <c:pt idx="539">
                  <c:v>783000</c:v>
                </c:pt>
                <c:pt idx="540">
                  <c:v>698000</c:v>
                </c:pt>
                <c:pt idx="541">
                  <c:v>251000</c:v>
                </c:pt>
                <c:pt idx="542">
                  <c:v>302000</c:v>
                </c:pt>
                <c:pt idx="543">
                  <c:v>498000</c:v>
                </c:pt>
                <c:pt idx="544">
                  <c:v>275</c:v>
                </c:pt>
                <c:pt idx="545">
                  <c:v>2300000</c:v>
                </c:pt>
                <c:pt idx="546">
                  <c:v>1600000</c:v>
                </c:pt>
                <c:pt idx="547">
                  <c:v>1200000</c:v>
                </c:pt>
                <c:pt idx="548">
                  <c:v>997000</c:v>
                </c:pt>
                <c:pt idx="549">
                  <c:v>831000</c:v>
                </c:pt>
                <c:pt idx="550">
                  <c:v>809000</c:v>
                </c:pt>
                <c:pt idx="551">
                  <c:v>629000</c:v>
                </c:pt>
                <c:pt idx="552">
                  <c:v>506000</c:v>
                </c:pt>
                <c:pt idx="553">
                  <c:v>494000</c:v>
                </c:pt>
                <c:pt idx="554">
                  <c:v>477000</c:v>
                </c:pt>
                <c:pt idx="555">
                  <c:v>440000</c:v>
                </c:pt>
                <c:pt idx="556">
                  <c:v>438000</c:v>
                </c:pt>
                <c:pt idx="557">
                  <c:v>420000</c:v>
                </c:pt>
                <c:pt idx="558">
                  <c:v>320000</c:v>
                </c:pt>
                <c:pt idx="559">
                  <c:v>300000</c:v>
                </c:pt>
                <c:pt idx="560">
                  <c:v>253000</c:v>
                </c:pt>
                <c:pt idx="561">
                  <c:v>3000000</c:v>
                </c:pt>
                <c:pt idx="562">
                  <c:v>303000</c:v>
                </c:pt>
                <c:pt idx="563">
                  <c:v>379000</c:v>
                </c:pt>
                <c:pt idx="564">
                  <c:v>899</c:v>
                </c:pt>
                <c:pt idx="565">
                  <c:v>845</c:v>
                </c:pt>
                <c:pt idx="566">
                  <c:v>809</c:v>
                </c:pt>
                <c:pt idx="567">
                  <c:v>807</c:v>
                </c:pt>
                <c:pt idx="568">
                  <c:v>788</c:v>
                </c:pt>
                <c:pt idx="569">
                  <c:v>748</c:v>
                </c:pt>
                <c:pt idx="570">
                  <c:v>711</c:v>
                </c:pt>
                <c:pt idx="571">
                  <c:v>471</c:v>
                </c:pt>
                <c:pt idx="572">
                  <c:v>904</c:v>
                </c:pt>
                <c:pt idx="573">
                  <c:v>903000</c:v>
                </c:pt>
                <c:pt idx="574">
                  <c:v>610000</c:v>
                </c:pt>
                <c:pt idx="575">
                  <c:v>452000</c:v>
                </c:pt>
                <c:pt idx="576">
                  <c:v>422000</c:v>
                </c:pt>
                <c:pt idx="577">
                  <c:v>410000</c:v>
                </c:pt>
                <c:pt idx="578">
                  <c:v>381000</c:v>
                </c:pt>
                <c:pt idx="579">
                  <c:v>282000</c:v>
                </c:pt>
                <c:pt idx="580">
                  <c:v>256000</c:v>
                </c:pt>
                <c:pt idx="581">
                  <c:v>210000</c:v>
                </c:pt>
                <c:pt idx="582">
                  <c:v>202000</c:v>
                </c:pt>
                <c:pt idx="583">
                  <c:v>993000</c:v>
                </c:pt>
                <c:pt idx="584">
                  <c:v>371000</c:v>
                </c:pt>
                <c:pt idx="585">
                  <c:v>995</c:v>
                </c:pt>
                <c:pt idx="586">
                  <c:v>905</c:v>
                </c:pt>
                <c:pt idx="587">
                  <c:v>885</c:v>
                </c:pt>
                <c:pt idx="588">
                  <c:v>881</c:v>
                </c:pt>
                <c:pt idx="589">
                  <c:v>844</c:v>
                </c:pt>
                <c:pt idx="590">
                  <c:v>808</c:v>
                </c:pt>
                <c:pt idx="591">
                  <c:v>792</c:v>
                </c:pt>
                <c:pt idx="592">
                  <c:v>785</c:v>
                </c:pt>
                <c:pt idx="593">
                  <c:v>522</c:v>
                </c:pt>
                <c:pt idx="594">
                  <c:v>265000</c:v>
                </c:pt>
                <c:pt idx="595">
                  <c:v>963000</c:v>
                </c:pt>
                <c:pt idx="596">
                  <c:v>883000</c:v>
                </c:pt>
                <c:pt idx="597">
                  <c:v>671000</c:v>
                </c:pt>
                <c:pt idx="598">
                  <c:v>606000</c:v>
                </c:pt>
                <c:pt idx="599">
                  <c:v>560000</c:v>
                </c:pt>
                <c:pt idx="600">
                  <c:v>507000</c:v>
                </c:pt>
                <c:pt idx="601">
                  <c:v>464000</c:v>
                </c:pt>
                <c:pt idx="602">
                  <c:v>447000</c:v>
                </c:pt>
                <c:pt idx="603">
                  <c:v>115000</c:v>
                </c:pt>
                <c:pt idx="604">
                  <c:v>596</c:v>
                </c:pt>
                <c:pt idx="605">
                  <c:v>474000</c:v>
                </c:pt>
                <c:pt idx="606">
                  <c:v>926</c:v>
                </c:pt>
                <c:pt idx="607">
                  <c:v>780</c:v>
                </c:pt>
                <c:pt idx="608">
                  <c:v>717</c:v>
                </c:pt>
                <c:pt idx="609">
                  <c:v>670</c:v>
                </c:pt>
                <c:pt idx="610">
                  <c:v>337</c:v>
                </c:pt>
                <c:pt idx="611">
                  <c:v>158000</c:v>
                </c:pt>
                <c:pt idx="612">
                  <c:v>969000</c:v>
                </c:pt>
                <c:pt idx="613">
                  <c:v>632000</c:v>
                </c:pt>
                <c:pt idx="614">
                  <c:v>569000</c:v>
                </c:pt>
                <c:pt idx="615">
                  <c:v>527000</c:v>
                </c:pt>
                <c:pt idx="616">
                  <c:v>388000</c:v>
                </c:pt>
                <c:pt idx="617">
                  <c:v>240000</c:v>
                </c:pt>
                <c:pt idx="618">
                  <c:v>608000</c:v>
                </c:pt>
                <c:pt idx="619">
                  <c:v>941</c:v>
                </c:pt>
                <c:pt idx="620">
                  <c:v>390</c:v>
                </c:pt>
                <c:pt idx="621">
                  <c:v>7300</c:v>
                </c:pt>
                <c:pt idx="622">
                  <c:v>507</c:v>
                </c:pt>
              </c:numCache>
            </c:numRef>
          </c:xVal>
          <c:yVal>
            <c:numRef>
              <c:f>maindata!$C$2:$C$624</c:f>
              <c:numCache>
                <c:formatCode>General</c:formatCode>
                <c:ptCount val="623"/>
                <c:pt idx="0">
                  <c:v>8.9600000000000009</c:v>
                </c:pt>
                <c:pt idx="1">
                  <c:v>8.67</c:v>
                </c:pt>
                <c:pt idx="2">
                  <c:v>8.2100000000000009</c:v>
                </c:pt>
                <c:pt idx="3">
                  <c:v>8.19</c:v>
                </c:pt>
                <c:pt idx="4">
                  <c:v>8.73</c:v>
                </c:pt>
                <c:pt idx="5">
                  <c:v>8.14</c:v>
                </c:pt>
                <c:pt idx="6">
                  <c:v>8.39</c:v>
                </c:pt>
                <c:pt idx="7">
                  <c:v>6.65</c:v>
                </c:pt>
                <c:pt idx="8">
                  <c:v>7.44</c:v>
                </c:pt>
                <c:pt idx="9">
                  <c:v>7.2</c:v>
                </c:pt>
                <c:pt idx="10">
                  <c:v>7.38</c:v>
                </c:pt>
                <c:pt idx="11">
                  <c:v>6.23</c:v>
                </c:pt>
                <c:pt idx="12">
                  <c:v>7.27</c:v>
                </c:pt>
                <c:pt idx="13">
                  <c:v>7.49</c:v>
                </c:pt>
                <c:pt idx="14">
                  <c:v>6.66</c:v>
                </c:pt>
                <c:pt idx="15">
                  <c:v>6.79</c:v>
                </c:pt>
                <c:pt idx="16">
                  <c:v>6.79</c:v>
                </c:pt>
                <c:pt idx="17">
                  <c:v>6.57</c:v>
                </c:pt>
                <c:pt idx="18">
                  <c:v>7.19</c:v>
                </c:pt>
                <c:pt idx="19">
                  <c:v>8.41</c:v>
                </c:pt>
                <c:pt idx="20">
                  <c:v>7.1</c:v>
                </c:pt>
                <c:pt idx="21">
                  <c:v>7.62</c:v>
                </c:pt>
                <c:pt idx="22">
                  <c:v>7.18</c:v>
                </c:pt>
                <c:pt idx="23">
                  <c:v>6.18</c:v>
                </c:pt>
                <c:pt idx="24">
                  <c:v>6.06</c:v>
                </c:pt>
                <c:pt idx="25">
                  <c:v>7.03</c:v>
                </c:pt>
                <c:pt idx="26">
                  <c:v>7.36</c:v>
                </c:pt>
                <c:pt idx="27">
                  <c:v>6.92</c:v>
                </c:pt>
                <c:pt idx="28">
                  <c:v>8.4700000000000006</c:v>
                </c:pt>
                <c:pt idx="29">
                  <c:v>6.58</c:v>
                </c:pt>
                <c:pt idx="30">
                  <c:v>6.8</c:v>
                </c:pt>
                <c:pt idx="31">
                  <c:v>6.96</c:v>
                </c:pt>
                <c:pt idx="32">
                  <c:v>7.81</c:v>
                </c:pt>
                <c:pt idx="33">
                  <c:v>6.59</c:v>
                </c:pt>
                <c:pt idx="34">
                  <c:v>6.52</c:v>
                </c:pt>
                <c:pt idx="35">
                  <c:v>6.27</c:v>
                </c:pt>
                <c:pt idx="36">
                  <c:v>6.76</c:v>
                </c:pt>
                <c:pt idx="37">
                  <c:v>6.21</c:v>
                </c:pt>
                <c:pt idx="38">
                  <c:v>7.1</c:v>
                </c:pt>
                <c:pt idx="39">
                  <c:v>7.2</c:v>
                </c:pt>
                <c:pt idx="40">
                  <c:v>6.27</c:v>
                </c:pt>
                <c:pt idx="41">
                  <c:v>4.67</c:v>
                </c:pt>
                <c:pt idx="42">
                  <c:v>5.68</c:v>
                </c:pt>
                <c:pt idx="43">
                  <c:v>7.55</c:v>
                </c:pt>
                <c:pt idx="44">
                  <c:v>5.7</c:v>
                </c:pt>
                <c:pt idx="45">
                  <c:v>5.76</c:v>
                </c:pt>
                <c:pt idx="46">
                  <c:v>5.63</c:v>
                </c:pt>
                <c:pt idx="47">
                  <c:v>6.31</c:v>
                </c:pt>
                <c:pt idx="48">
                  <c:v>8.73</c:v>
                </c:pt>
                <c:pt idx="49">
                  <c:v>8.18</c:v>
                </c:pt>
                <c:pt idx="50">
                  <c:v>7.47</c:v>
                </c:pt>
                <c:pt idx="51">
                  <c:v>7.43</c:v>
                </c:pt>
                <c:pt idx="52">
                  <c:v>7.82</c:v>
                </c:pt>
                <c:pt idx="53">
                  <c:v>7.87</c:v>
                </c:pt>
                <c:pt idx="54">
                  <c:v>7.52</c:v>
                </c:pt>
                <c:pt idx="55">
                  <c:v>6.16</c:v>
                </c:pt>
                <c:pt idx="56">
                  <c:v>6.38</c:v>
                </c:pt>
                <c:pt idx="57">
                  <c:v>7.46</c:v>
                </c:pt>
                <c:pt idx="58">
                  <c:v>6.42</c:v>
                </c:pt>
                <c:pt idx="59">
                  <c:v>7.31</c:v>
                </c:pt>
                <c:pt idx="60">
                  <c:v>7.52</c:v>
                </c:pt>
                <c:pt idx="61">
                  <c:v>5.59</c:v>
                </c:pt>
                <c:pt idx="62">
                  <c:v>9.18</c:v>
                </c:pt>
                <c:pt idx="63">
                  <c:v>8.5</c:v>
                </c:pt>
                <c:pt idx="64">
                  <c:v>8.52</c:v>
                </c:pt>
                <c:pt idx="65">
                  <c:v>7.51</c:v>
                </c:pt>
                <c:pt idx="66">
                  <c:v>8.2899999999999991</c:v>
                </c:pt>
                <c:pt idx="67">
                  <c:v>7.84</c:v>
                </c:pt>
                <c:pt idx="68">
                  <c:v>8.39</c:v>
                </c:pt>
                <c:pt idx="69">
                  <c:v>8.49</c:v>
                </c:pt>
                <c:pt idx="70">
                  <c:v>8.06</c:v>
                </c:pt>
                <c:pt idx="71">
                  <c:v>8.36</c:v>
                </c:pt>
                <c:pt idx="72">
                  <c:v>6.38</c:v>
                </c:pt>
                <c:pt idx="73">
                  <c:v>7.4</c:v>
                </c:pt>
                <c:pt idx="74">
                  <c:v>6.9</c:v>
                </c:pt>
                <c:pt idx="75">
                  <c:v>6.91</c:v>
                </c:pt>
                <c:pt idx="76">
                  <c:v>7.94</c:v>
                </c:pt>
                <c:pt idx="77">
                  <c:v>7.42</c:v>
                </c:pt>
                <c:pt idx="78">
                  <c:v>7.35</c:v>
                </c:pt>
                <c:pt idx="79">
                  <c:v>6.9</c:v>
                </c:pt>
                <c:pt idx="80">
                  <c:v>6.88</c:v>
                </c:pt>
                <c:pt idx="81">
                  <c:v>6.96</c:v>
                </c:pt>
                <c:pt idx="82">
                  <c:v>6.32</c:v>
                </c:pt>
                <c:pt idx="83">
                  <c:v>6.91</c:v>
                </c:pt>
                <c:pt idx="84">
                  <c:v>6.69</c:v>
                </c:pt>
                <c:pt idx="85">
                  <c:v>7.08</c:v>
                </c:pt>
                <c:pt idx="86">
                  <c:v>8.07</c:v>
                </c:pt>
                <c:pt idx="87">
                  <c:v>7.75</c:v>
                </c:pt>
                <c:pt idx="88">
                  <c:v>6.85</c:v>
                </c:pt>
                <c:pt idx="89">
                  <c:v>6.5</c:v>
                </c:pt>
                <c:pt idx="90">
                  <c:v>8.23</c:v>
                </c:pt>
                <c:pt idx="91">
                  <c:v>8.2200000000000006</c:v>
                </c:pt>
                <c:pt idx="92">
                  <c:v>8.32</c:v>
                </c:pt>
                <c:pt idx="93">
                  <c:v>8.06</c:v>
                </c:pt>
                <c:pt idx="94">
                  <c:v>7.99</c:v>
                </c:pt>
                <c:pt idx="95">
                  <c:v>7.63</c:v>
                </c:pt>
                <c:pt idx="96">
                  <c:v>7.29</c:v>
                </c:pt>
                <c:pt idx="97">
                  <c:v>6.43</c:v>
                </c:pt>
                <c:pt idx="98">
                  <c:v>7.13</c:v>
                </c:pt>
                <c:pt idx="99">
                  <c:v>8.34</c:v>
                </c:pt>
                <c:pt idx="100">
                  <c:v>8.5500000000000007</c:v>
                </c:pt>
                <c:pt idx="101">
                  <c:v>7.59</c:v>
                </c:pt>
                <c:pt idx="102">
                  <c:v>8.91</c:v>
                </c:pt>
                <c:pt idx="103">
                  <c:v>8.25</c:v>
                </c:pt>
                <c:pt idx="104">
                  <c:v>7.89</c:v>
                </c:pt>
                <c:pt idx="105">
                  <c:v>7.57</c:v>
                </c:pt>
                <c:pt idx="106">
                  <c:v>6.74</c:v>
                </c:pt>
                <c:pt idx="107">
                  <c:v>7.42</c:v>
                </c:pt>
                <c:pt idx="108">
                  <c:v>6.64</c:v>
                </c:pt>
                <c:pt idx="109">
                  <c:v>7.5</c:v>
                </c:pt>
                <c:pt idx="110">
                  <c:v>6.33</c:v>
                </c:pt>
                <c:pt idx="111">
                  <c:v>7.17</c:v>
                </c:pt>
                <c:pt idx="112">
                  <c:v>6.55</c:v>
                </c:pt>
                <c:pt idx="113">
                  <c:v>6.61</c:v>
                </c:pt>
                <c:pt idx="114">
                  <c:v>6.58</c:v>
                </c:pt>
                <c:pt idx="115">
                  <c:v>6.55</c:v>
                </c:pt>
                <c:pt idx="116">
                  <c:v>5.77</c:v>
                </c:pt>
                <c:pt idx="117">
                  <c:v>6.34</c:v>
                </c:pt>
                <c:pt idx="118">
                  <c:v>7.14</c:v>
                </c:pt>
                <c:pt idx="119">
                  <c:v>8.3800000000000008</c:v>
                </c:pt>
                <c:pt idx="120">
                  <c:v>6.09</c:v>
                </c:pt>
                <c:pt idx="121">
                  <c:v>7.1</c:v>
                </c:pt>
                <c:pt idx="122">
                  <c:v>6.77</c:v>
                </c:pt>
                <c:pt idx="123">
                  <c:v>7.16</c:v>
                </c:pt>
                <c:pt idx="124">
                  <c:v>5.96</c:v>
                </c:pt>
                <c:pt idx="125">
                  <c:v>7.39</c:v>
                </c:pt>
                <c:pt idx="126">
                  <c:v>5.4</c:v>
                </c:pt>
                <c:pt idx="127">
                  <c:v>8.43</c:v>
                </c:pt>
                <c:pt idx="128">
                  <c:v>8.16</c:v>
                </c:pt>
                <c:pt idx="129">
                  <c:v>8.7200000000000006</c:v>
                </c:pt>
                <c:pt idx="130">
                  <c:v>8.26</c:v>
                </c:pt>
                <c:pt idx="131">
                  <c:v>7.89</c:v>
                </c:pt>
                <c:pt idx="132">
                  <c:v>7.02</c:v>
                </c:pt>
                <c:pt idx="133">
                  <c:v>7.57</c:v>
                </c:pt>
                <c:pt idx="134">
                  <c:v>6.79</c:v>
                </c:pt>
                <c:pt idx="135">
                  <c:v>7.54</c:v>
                </c:pt>
                <c:pt idx="136">
                  <c:v>6.2</c:v>
                </c:pt>
                <c:pt idx="137">
                  <c:v>6.06</c:v>
                </c:pt>
                <c:pt idx="138">
                  <c:v>7.17</c:v>
                </c:pt>
                <c:pt idx="139">
                  <c:v>6.6</c:v>
                </c:pt>
                <c:pt idx="140">
                  <c:v>6.59</c:v>
                </c:pt>
                <c:pt idx="141">
                  <c:v>5.9</c:v>
                </c:pt>
                <c:pt idx="142">
                  <c:v>5.76</c:v>
                </c:pt>
                <c:pt idx="143">
                  <c:v>7.12</c:v>
                </c:pt>
                <c:pt idx="144">
                  <c:v>6.54</c:v>
                </c:pt>
                <c:pt idx="145">
                  <c:v>6.69</c:v>
                </c:pt>
                <c:pt idx="146">
                  <c:v>6.99</c:v>
                </c:pt>
                <c:pt idx="147">
                  <c:v>6.81</c:v>
                </c:pt>
                <c:pt idx="148">
                  <c:v>5.81</c:v>
                </c:pt>
                <c:pt idx="149">
                  <c:v>6.34</c:v>
                </c:pt>
                <c:pt idx="150">
                  <c:v>6.45</c:v>
                </c:pt>
                <c:pt idx="151">
                  <c:v>5.86</c:v>
                </c:pt>
                <c:pt idx="152">
                  <c:v>6.57</c:v>
                </c:pt>
                <c:pt idx="153">
                  <c:v>7.61</c:v>
                </c:pt>
                <c:pt idx="154">
                  <c:v>6.47</c:v>
                </c:pt>
                <c:pt idx="155">
                  <c:v>6.21</c:v>
                </c:pt>
                <c:pt idx="156">
                  <c:v>6.11</c:v>
                </c:pt>
                <c:pt idx="157">
                  <c:v>8.41</c:v>
                </c:pt>
                <c:pt idx="158">
                  <c:v>8.2200000000000006</c:v>
                </c:pt>
                <c:pt idx="159">
                  <c:v>8.18</c:v>
                </c:pt>
                <c:pt idx="160">
                  <c:v>8.5299999999999994</c:v>
                </c:pt>
                <c:pt idx="161">
                  <c:v>7.79</c:v>
                </c:pt>
                <c:pt idx="162">
                  <c:v>8.02</c:v>
                </c:pt>
                <c:pt idx="163">
                  <c:v>7.91</c:v>
                </c:pt>
                <c:pt idx="164">
                  <c:v>8.34</c:v>
                </c:pt>
                <c:pt idx="165">
                  <c:v>8.11</c:v>
                </c:pt>
                <c:pt idx="166">
                  <c:v>8.17</c:v>
                </c:pt>
                <c:pt idx="167">
                  <c:v>8.5</c:v>
                </c:pt>
                <c:pt idx="168">
                  <c:v>7.06</c:v>
                </c:pt>
                <c:pt idx="169">
                  <c:v>7.81</c:v>
                </c:pt>
                <c:pt idx="170">
                  <c:v>6.9</c:v>
                </c:pt>
                <c:pt idx="171">
                  <c:v>7.61</c:v>
                </c:pt>
                <c:pt idx="172">
                  <c:v>6.62</c:v>
                </c:pt>
                <c:pt idx="173">
                  <c:v>7.63</c:v>
                </c:pt>
                <c:pt idx="174">
                  <c:v>6.17</c:v>
                </c:pt>
                <c:pt idx="175">
                  <c:v>6.12</c:v>
                </c:pt>
                <c:pt idx="176">
                  <c:v>6.57</c:v>
                </c:pt>
                <c:pt idx="177">
                  <c:v>6.71</c:v>
                </c:pt>
                <c:pt idx="178">
                  <c:v>7.37</c:v>
                </c:pt>
                <c:pt idx="179">
                  <c:v>5.67</c:v>
                </c:pt>
                <c:pt idx="180">
                  <c:v>7.37</c:v>
                </c:pt>
                <c:pt idx="181">
                  <c:v>7.2</c:v>
                </c:pt>
                <c:pt idx="182">
                  <c:v>8.76</c:v>
                </c:pt>
                <c:pt idx="183">
                  <c:v>8.68</c:v>
                </c:pt>
                <c:pt idx="184">
                  <c:v>8.61</c:v>
                </c:pt>
                <c:pt idx="185">
                  <c:v>6.04</c:v>
                </c:pt>
                <c:pt idx="186">
                  <c:v>5.84</c:v>
                </c:pt>
                <c:pt idx="187">
                  <c:v>6.95</c:v>
                </c:pt>
                <c:pt idx="188">
                  <c:v>5.98</c:v>
                </c:pt>
                <c:pt idx="189">
                  <c:v>6.35</c:v>
                </c:pt>
                <c:pt idx="190">
                  <c:v>6.45</c:v>
                </c:pt>
                <c:pt idx="191">
                  <c:v>5.77</c:v>
                </c:pt>
                <c:pt idx="192">
                  <c:v>9.09</c:v>
                </c:pt>
                <c:pt idx="193">
                  <c:v>8.67</c:v>
                </c:pt>
                <c:pt idx="194">
                  <c:v>8.35</c:v>
                </c:pt>
                <c:pt idx="195">
                  <c:v>6.82</c:v>
                </c:pt>
                <c:pt idx="196">
                  <c:v>7.63</c:v>
                </c:pt>
                <c:pt idx="197">
                  <c:v>6.39</c:v>
                </c:pt>
                <c:pt idx="198">
                  <c:v>5.81</c:v>
                </c:pt>
                <c:pt idx="199">
                  <c:v>7.71</c:v>
                </c:pt>
                <c:pt idx="200">
                  <c:v>7.63</c:v>
                </c:pt>
                <c:pt idx="201">
                  <c:v>6.96</c:v>
                </c:pt>
                <c:pt idx="202">
                  <c:v>6.18</c:v>
                </c:pt>
                <c:pt idx="203">
                  <c:v>6.83</c:v>
                </c:pt>
                <c:pt idx="204">
                  <c:v>6.18</c:v>
                </c:pt>
                <c:pt idx="205">
                  <c:v>6.7</c:v>
                </c:pt>
                <c:pt idx="206">
                  <c:v>7.05</c:v>
                </c:pt>
                <c:pt idx="207">
                  <c:v>8.58</c:v>
                </c:pt>
                <c:pt idx="208">
                  <c:v>7.25</c:v>
                </c:pt>
                <c:pt idx="209">
                  <c:v>7.48</c:v>
                </c:pt>
                <c:pt idx="210">
                  <c:v>8.0299999999999994</c:v>
                </c:pt>
                <c:pt idx="211">
                  <c:v>7.6</c:v>
                </c:pt>
                <c:pt idx="212">
                  <c:v>5.67</c:v>
                </c:pt>
                <c:pt idx="213">
                  <c:v>5.77</c:v>
                </c:pt>
                <c:pt idx="214">
                  <c:v>7.44</c:v>
                </c:pt>
                <c:pt idx="215">
                  <c:v>7.11</c:v>
                </c:pt>
                <c:pt idx="216">
                  <c:v>6.6</c:v>
                </c:pt>
                <c:pt idx="217">
                  <c:v>6.75</c:v>
                </c:pt>
                <c:pt idx="218">
                  <c:v>5.89</c:v>
                </c:pt>
                <c:pt idx="219">
                  <c:v>6.57</c:v>
                </c:pt>
                <c:pt idx="220">
                  <c:v>6.95</c:v>
                </c:pt>
                <c:pt idx="221">
                  <c:v>6.59</c:v>
                </c:pt>
                <c:pt idx="222">
                  <c:v>7.41</c:v>
                </c:pt>
                <c:pt idx="223">
                  <c:v>6.8</c:v>
                </c:pt>
                <c:pt idx="224">
                  <c:v>6.6</c:v>
                </c:pt>
                <c:pt idx="225">
                  <c:v>4.75</c:v>
                </c:pt>
                <c:pt idx="226">
                  <c:v>8.2100000000000009</c:v>
                </c:pt>
                <c:pt idx="227">
                  <c:v>8.7200000000000006</c:v>
                </c:pt>
                <c:pt idx="228">
                  <c:v>6.57</c:v>
                </c:pt>
                <c:pt idx="229">
                  <c:v>7.36</c:v>
                </c:pt>
                <c:pt idx="230">
                  <c:v>7.68</c:v>
                </c:pt>
                <c:pt idx="231">
                  <c:v>6.5</c:v>
                </c:pt>
                <c:pt idx="232">
                  <c:v>7.47</c:v>
                </c:pt>
                <c:pt idx="233">
                  <c:v>7.46</c:v>
                </c:pt>
                <c:pt idx="234">
                  <c:v>6.56</c:v>
                </c:pt>
                <c:pt idx="235">
                  <c:v>7.45</c:v>
                </c:pt>
                <c:pt idx="236">
                  <c:v>8.67</c:v>
                </c:pt>
                <c:pt idx="237">
                  <c:v>5.85</c:v>
                </c:pt>
                <c:pt idx="238">
                  <c:v>7.32</c:v>
                </c:pt>
                <c:pt idx="239">
                  <c:v>6.84</c:v>
                </c:pt>
                <c:pt idx="240">
                  <c:v>6.99</c:v>
                </c:pt>
                <c:pt idx="241">
                  <c:v>6.88</c:v>
                </c:pt>
                <c:pt idx="242">
                  <c:v>6.24</c:v>
                </c:pt>
                <c:pt idx="243">
                  <c:v>6.36</c:v>
                </c:pt>
                <c:pt idx="244">
                  <c:v>6.07</c:v>
                </c:pt>
                <c:pt idx="245">
                  <c:v>6.27</c:v>
                </c:pt>
                <c:pt idx="246">
                  <c:v>8.17</c:v>
                </c:pt>
                <c:pt idx="247">
                  <c:v>8.59</c:v>
                </c:pt>
                <c:pt idx="248">
                  <c:v>7.93</c:v>
                </c:pt>
                <c:pt idx="249">
                  <c:v>7.78</c:v>
                </c:pt>
                <c:pt idx="250">
                  <c:v>8.1999999999999993</c:v>
                </c:pt>
                <c:pt idx="251">
                  <c:v>7.84</c:v>
                </c:pt>
                <c:pt idx="252">
                  <c:v>7.53</c:v>
                </c:pt>
                <c:pt idx="253">
                  <c:v>8.6999999999999993</c:v>
                </c:pt>
                <c:pt idx="254">
                  <c:v>6.87</c:v>
                </c:pt>
                <c:pt idx="255">
                  <c:v>7.53</c:v>
                </c:pt>
                <c:pt idx="256">
                  <c:v>7.05</c:v>
                </c:pt>
                <c:pt idx="257">
                  <c:v>7.14</c:v>
                </c:pt>
                <c:pt idx="258">
                  <c:v>7.61</c:v>
                </c:pt>
                <c:pt idx="259">
                  <c:v>6.36</c:v>
                </c:pt>
                <c:pt idx="260">
                  <c:v>7.46</c:v>
                </c:pt>
                <c:pt idx="261">
                  <c:v>7.12</c:v>
                </c:pt>
                <c:pt idx="262">
                  <c:v>6.76</c:v>
                </c:pt>
                <c:pt idx="263">
                  <c:v>6.07</c:v>
                </c:pt>
                <c:pt idx="264">
                  <c:v>7.57</c:v>
                </c:pt>
                <c:pt idx="265">
                  <c:v>6.74</c:v>
                </c:pt>
                <c:pt idx="266">
                  <c:v>7.27</c:v>
                </c:pt>
                <c:pt idx="267">
                  <c:v>6.21</c:v>
                </c:pt>
                <c:pt idx="268">
                  <c:v>7.25</c:v>
                </c:pt>
                <c:pt idx="269">
                  <c:v>6.79</c:v>
                </c:pt>
                <c:pt idx="270">
                  <c:v>7.11</c:v>
                </c:pt>
                <c:pt idx="271">
                  <c:v>6.3</c:v>
                </c:pt>
                <c:pt idx="272">
                  <c:v>9.27</c:v>
                </c:pt>
                <c:pt idx="273">
                  <c:v>8.85</c:v>
                </c:pt>
                <c:pt idx="274">
                  <c:v>8.1</c:v>
                </c:pt>
                <c:pt idx="275">
                  <c:v>7.74</c:v>
                </c:pt>
                <c:pt idx="276">
                  <c:v>7.55</c:v>
                </c:pt>
                <c:pt idx="277">
                  <c:v>7.1</c:v>
                </c:pt>
                <c:pt idx="278">
                  <c:v>7.97</c:v>
                </c:pt>
                <c:pt idx="279">
                  <c:v>6.56</c:v>
                </c:pt>
                <c:pt idx="280">
                  <c:v>6.3</c:v>
                </c:pt>
                <c:pt idx="281">
                  <c:v>6.33</c:v>
                </c:pt>
                <c:pt idx="282">
                  <c:v>6.23</c:v>
                </c:pt>
                <c:pt idx="283">
                  <c:v>6.85</c:v>
                </c:pt>
                <c:pt idx="284">
                  <c:v>6.61</c:v>
                </c:pt>
                <c:pt idx="285">
                  <c:v>5.92</c:v>
                </c:pt>
                <c:pt idx="286">
                  <c:v>6.66</c:v>
                </c:pt>
                <c:pt idx="287">
                  <c:v>6.12</c:v>
                </c:pt>
                <c:pt idx="288">
                  <c:v>6.51</c:v>
                </c:pt>
                <c:pt idx="289">
                  <c:v>5.97</c:v>
                </c:pt>
                <c:pt idx="290">
                  <c:v>6.35</c:v>
                </c:pt>
                <c:pt idx="291">
                  <c:v>8.52</c:v>
                </c:pt>
                <c:pt idx="292">
                  <c:v>7.54</c:v>
                </c:pt>
                <c:pt idx="293">
                  <c:v>8.08</c:v>
                </c:pt>
                <c:pt idx="294">
                  <c:v>6.66</c:v>
                </c:pt>
                <c:pt idx="295">
                  <c:v>6.95</c:v>
                </c:pt>
                <c:pt idx="296">
                  <c:v>7.25</c:v>
                </c:pt>
                <c:pt idx="297">
                  <c:v>6.47</c:v>
                </c:pt>
                <c:pt idx="298">
                  <c:v>7.82</c:v>
                </c:pt>
                <c:pt idx="299">
                  <c:v>6.87</c:v>
                </c:pt>
                <c:pt idx="300">
                  <c:v>7.41</c:v>
                </c:pt>
                <c:pt idx="301">
                  <c:v>6.23</c:v>
                </c:pt>
                <c:pt idx="302">
                  <c:v>8.1300000000000008</c:v>
                </c:pt>
                <c:pt idx="303">
                  <c:v>7.7</c:v>
                </c:pt>
                <c:pt idx="304">
                  <c:v>8.1199999999999992</c:v>
                </c:pt>
                <c:pt idx="305">
                  <c:v>6.56</c:v>
                </c:pt>
                <c:pt idx="306">
                  <c:v>7.83</c:v>
                </c:pt>
                <c:pt idx="307">
                  <c:v>5.85</c:v>
                </c:pt>
                <c:pt idx="308">
                  <c:v>6.87</c:v>
                </c:pt>
                <c:pt idx="309">
                  <c:v>7.24</c:v>
                </c:pt>
                <c:pt idx="310">
                  <c:v>7.32</c:v>
                </c:pt>
                <c:pt idx="311">
                  <c:v>6.84</c:v>
                </c:pt>
                <c:pt idx="312">
                  <c:v>7.51</c:v>
                </c:pt>
                <c:pt idx="313">
                  <c:v>6.56</c:v>
                </c:pt>
                <c:pt idx="314">
                  <c:v>6.76</c:v>
                </c:pt>
                <c:pt idx="315">
                  <c:v>6.71</c:v>
                </c:pt>
                <c:pt idx="316">
                  <c:v>5.9</c:v>
                </c:pt>
                <c:pt idx="317">
                  <c:v>6.2</c:v>
                </c:pt>
                <c:pt idx="318">
                  <c:v>6.67</c:v>
                </c:pt>
                <c:pt idx="319">
                  <c:v>8.02</c:v>
                </c:pt>
                <c:pt idx="320">
                  <c:v>8.2200000000000006</c:v>
                </c:pt>
                <c:pt idx="321">
                  <c:v>8.39</c:v>
                </c:pt>
                <c:pt idx="322">
                  <c:v>8.34</c:v>
                </c:pt>
                <c:pt idx="323">
                  <c:v>7.71</c:v>
                </c:pt>
                <c:pt idx="324">
                  <c:v>7.41</c:v>
                </c:pt>
                <c:pt idx="325">
                  <c:v>6.82</c:v>
                </c:pt>
                <c:pt idx="326">
                  <c:v>6.48</c:v>
                </c:pt>
                <c:pt idx="327">
                  <c:v>7.16</c:v>
                </c:pt>
                <c:pt idx="328">
                  <c:v>6.54</c:v>
                </c:pt>
                <c:pt idx="329">
                  <c:v>7.45</c:v>
                </c:pt>
                <c:pt idx="330">
                  <c:v>7.75</c:v>
                </c:pt>
                <c:pt idx="331">
                  <c:v>6.27</c:v>
                </c:pt>
                <c:pt idx="332">
                  <c:v>7.32</c:v>
                </c:pt>
                <c:pt idx="333">
                  <c:v>6.09</c:v>
                </c:pt>
                <c:pt idx="334">
                  <c:v>5.58</c:v>
                </c:pt>
                <c:pt idx="335">
                  <c:v>7.89</c:v>
                </c:pt>
                <c:pt idx="336">
                  <c:v>7.15</c:v>
                </c:pt>
                <c:pt idx="337">
                  <c:v>7.29</c:v>
                </c:pt>
                <c:pt idx="338">
                  <c:v>6.64</c:v>
                </c:pt>
                <c:pt idx="339">
                  <c:v>6.42</c:v>
                </c:pt>
                <c:pt idx="340">
                  <c:v>6.31</c:v>
                </c:pt>
                <c:pt idx="341">
                  <c:v>6.85</c:v>
                </c:pt>
                <c:pt idx="342">
                  <c:v>6.72</c:v>
                </c:pt>
                <c:pt idx="343">
                  <c:v>5.78</c:v>
                </c:pt>
                <c:pt idx="344">
                  <c:v>6.08</c:v>
                </c:pt>
                <c:pt idx="345">
                  <c:v>6.65</c:v>
                </c:pt>
                <c:pt idx="346">
                  <c:v>8.6199999999999992</c:v>
                </c:pt>
                <c:pt idx="347">
                  <c:v>6.91</c:v>
                </c:pt>
                <c:pt idx="348">
                  <c:v>6.02</c:v>
                </c:pt>
                <c:pt idx="349">
                  <c:v>5.84</c:v>
                </c:pt>
                <c:pt idx="350">
                  <c:v>8.42</c:v>
                </c:pt>
                <c:pt idx="351">
                  <c:v>8.67</c:v>
                </c:pt>
                <c:pt idx="352">
                  <c:v>5.67</c:v>
                </c:pt>
                <c:pt idx="353">
                  <c:v>6.87</c:v>
                </c:pt>
                <c:pt idx="354">
                  <c:v>7.98</c:v>
                </c:pt>
                <c:pt idx="355">
                  <c:v>7.07</c:v>
                </c:pt>
                <c:pt idx="356">
                  <c:v>7.18</c:v>
                </c:pt>
                <c:pt idx="357">
                  <c:v>6.88</c:v>
                </c:pt>
                <c:pt idx="358">
                  <c:v>7.12</c:v>
                </c:pt>
                <c:pt idx="359">
                  <c:v>6.22</c:v>
                </c:pt>
                <c:pt idx="360">
                  <c:v>7.11</c:v>
                </c:pt>
                <c:pt idx="361">
                  <c:v>6.72</c:v>
                </c:pt>
                <c:pt idx="362">
                  <c:v>6.79</c:v>
                </c:pt>
                <c:pt idx="363">
                  <c:v>6.91</c:v>
                </c:pt>
                <c:pt idx="364">
                  <c:v>7.21</c:v>
                </c:pt>
                <c:pt idx="365">
                  <c:v>5.58</c:v>
                </c:pt>
                <c:pt idx="366">
                  <c:v>6.92</c:v>
                </c:pt>
                <c:pt idx="367">
                  <c:v>6.8</c:v>
                </c:pt>
                <c:pt idx="368">
                  <c:v>6.79</c:v>
                </c:pt>
                <c:pt idx="369">
                  <c:v>6.05</c:v>
                </c:pt>
                <c:pt idx="370">
                  <c:v>8.82</c:v>
                </c:pt>
                <c:pt idx="371">
                  <c:v>7.71</c:v>
                </c:pt>
                <c:pt idx="372">
                  <c:v>7.86</c:v>
                </c:pt>
                <c:pt idx="373">
                  <c:v>7.62</c:v>
                </c:pt>
                <c:pt idx="374">
                  <c:v>6.83</c:v>
                </c:pt>
                <c:pt idx="375">
                  <c:v>8.42</c:v>
                </c:pt>
                <c:pt idx="376">
                  <c:v>8.1</c:v>
                </c:pt>
                <c:pt idx="377">
                  <c:v>7.56</c:v>
                </c:pt>
                <c:pt idx="378">
                  <c:v>7.64</c:v>
                </c:pt>
                <c:pt idx="379">
                  <c:v>7.44</c:v>
                </c:pt>
                <c:pt idx="380">
                  <c:v>8.26</c:v>
                </c:pt>
                <c:pt idx="381">
                  <c:v>7.22</c:v>
                </c:pt>
                <c:pt idx="382">
                  <c:v>7.54</c:v>
                </c:pt>
                <c:pt idx="383">
                  <c:v>7.82</c:v>
                </c:pt>
                <c:pt idx="384">
                  <c:v>7.46</c:v>
                </c:pt>
                <c:pt idx="385">
                  <c:v>7.37</c:v>
                </c:pt>
                <c:pt idx="386">
                  <c:v>7.36</c:v>
                </c:pt>
                <c:pt idx="387">
                  <c:v>6.56</c:v>
                </c:pt>
                <c:pt idx="388">
                  <c:v>7.49</c:v>
                </c:pt>
                <c:pt idx="389">
                  <c:v>6.81</c:v>
                </c:pt>
                <c:pt idx="390">
                  <c:v>5.98</c:v>
                </c:pt>
                <c:pt idx="391">
                  <c:v>8.1199999999999992</c:v>
                </c:pt>
                <c:pt idx="392">
                  <c:v>8.2200000000000006</c:v>
                </c:pt>
                <c:pt idx="393">
                  <c:v>8.2200000000000006</c:v>
                </c:pt>
                <c:pt idx="394">
                  <c:v>7.75</c:v>
                </c:pt>
                <c:pt idx="395">
                  <c:v>8.11</c:v>
                </c:pt>
                <c:pt idx="396">
                  <c:v>7.85</c:v>
                </c:pt>
                <c:pt idx="397">
                  <c:v>7.22</c:v>
                </c:pt>
                <c:pt idx="398">
                  <c:v>7.16</c:v>
                </c:pt>
                <c:pt idx="399">
                  <c:v>6.69</c:v>
                </c:pt>
                <c:pt idx="400">
                  <c:v>6.34</c:v>
                </c:pt>
                <c:pt idx="401">
                  <c:v>6.46</c:v>
                </c:pt>
                <c:pt idx="402">
                  <c:v>5.6</c:v>
                </c:pt>
                <c:pt idx="403">
                  <c:v>5.88</c:v>
                </c:pt>
                <c:pt idx="404">
                  <c:v>8.1999999999999993</c:v>
                </c:pt>
                <c:pt idx="405">
                  <c:v>7.7</c:v>
                </c:pt>
                <c:pt idx="406">
                  <c:v>8.6999999999999993</c:v>
                </c:pt>
                <c:pt idx="407">
                  <c:v>7.68</c:v>
                </c:pt>
                <c:pt idx="408">
                  <c:v>7.23</c:v>
                </c:pt>
                <c:pt idx="409">
                  <c:v>6.94</c:v>
                </c:pt>
                <c:pt idx="410">
                  <c:v>7.84</c:v>
                </c:pt>
                <c:pt idx="411">
                  <c:v>6.68</c:v>
                </c:pt>
                <c:pt idx="412">
                  <c:v>7.12</c:v>
                </c:pt>
                <c:pt idx="413">
                  <c:v>6.69</c:v>
                </c:pt>
                <c:pt idx="414">
                  <c:v>7.63</c:v>
                </c:pt>
                <c:pt idx="415">
                  <c:v>8.6199999999999992</c:v>
                </c:pt>
                <c:pt idx="416">
                  <c:v>7.77</c:v>
                </c:pt>
                <c:pt idx="417">
                  <c:v>6.57</c:v>
                </c:pt>
                <c:pt idx="418">
                  <c:v>6.69</c:v>
                </c:pt>
                <c:pt idx="419">
                  <c:v>6.15</c:v>
                </c:pt>
                <c:pt idx="420">
                  <c:v>7.08</c:v>
                </c:pt>
                <c:pt idx="421">
                  <c:v>5.84</c:v>
                </c:pt>
                <c:pt idx="422">
                  <c:v>6.32</c:v>
                </c:pt>
                <c:pt idx="423">
                  <c:v>6.24</c:v>
                </c:pt>
                <c:pt idx="424">
                  <c:v>6.43</c:v>
                </c:pt>
                <c:pt idx="425">
                  <c:v>5.8</c:v>
                </c:pt>
                <c:pt idx="426">
                  <c:v>7.54</c:v>
                </c:pt>
                <c:pt idx="427">
                  <c:v>8.5399999999999991</c:v>
                </c:pt>
                <c:pt idx="428">
                  <c:v>8.09</c:v>
                </c:pt>
                <c:pt idx="429">
                  <c:v>7.61</c:v>
                </c:pt>
                <c:pt idx="430">
                  <c:v>8.2100000000000009</c:v>
                </c:pt>
                <c:pt idx="431">
                  <c:v>8.15</c:v>
                </c:pt>
                <c:pt idx="432">
                  <c:v>7.75</c:v>
                </c:pt>
                <c:pt idx="433">
                  <c:v>8.1999999999999993</c:v>
                </c:pt>
                <c:pt idx="434">
                  <c:v>7.52</c:v>
                </c:pt>
                <c:pt idx="435">
                  <c:v>6.33</c:v>
                </c:pt>
                <c:pt idx="436">
                  <c:v>8.11</c:v>
                </c:pt>
                <c:pt idx="437">
                  <c:v>8.08</c:v>
                </c:pt>
                <c:pt idx="438">
                  <c:v>7.77</c:v>
                </c:pt>
                <c:pt idx="439">
                  <c:v>7.53</c:v>
                </c:pt>
                <c:pt idx="440">
                  <c:v>6.39</c:v>
                </c:pt>
                <c:pt idx="441">
                  <c:v>7.32</c:v>
                </c:pt>
                <c:pt idx="442">
                  <c:v>7.4</c:v>
                </c:pt>
                <c:pt idx="443">
                  <c:v>6.61</c:v>
                </c:pt>
                <c:pt idx="444">
                  <c:v>5.71</c:v>
                </c:pt>
                <c:pt idx="445">
                  <c:v>5.79</c:v>
                </c:pt>
                <c:pt idx="446">
                  <c:v>6.58</c:v>
                </c:pt>
                <c:pt idx="447">
                  <c:v>6.37</c:v>
                </c:pt>
                <c:pt idx="448">
                  <c:v>5.75</c:v>
                </c:pt>
                <c:pt idx="449">
                  <c:v>7.98</c:v>
                </c:pt>
                <c:pt idx="450">
                  <c:v>5.31</c:v>
                </c:pt>
                <c:pt idx="451">
                  <c:v>8.06</c:v>
                </c:pt>
                <c:pt idx="452">
                  <c:v>8.25</c:v>
                </c:pt>
                <c:pt idx="453">
                  <c:v>7.08</c:v>
                </c:pt>
                <c:pt idx="454">
                  <c:v>8.3000000000000007</c:v>
                </c:pt>
                <c:pt idx="455">
                  <c:v>7.21</c:v>
                </c:pt>
                <c:pt idx="456">
                  <c:v>7.68</c:v>
                </c:pt>
                <c:pt idx="457">
                  <c:v>7.81</c:v>
                </c:pt>
                <c:pt idx="458">
                  <c:v>6.72</c:v>
                </c:pt>
                <c:pt idx="459">
                  <c:v>6.75</c:v>
                </c:pt>
                <c:pt idx="460">
                  <c:v>6.21</c:v>
                </c:pt>
                <c:pt idx="461">
                  <c:v>7.44</c:v>
                </c:pt>
                <c:pt idx="462">
                  <c:v>8.44</c:v>
                </c:pt>
                <c:pt idx="463">
                  <c:v>6.81</c:v>
                </c:pt>
                <c:pt idx="464">
                  <c:v>6.67</c:v>
                </c:pt>
                <c:pt idx="465">
                  <c:v>7.09</c:v>
                </c:pt>
                <c:pt idx="466">
                  <c:v>6.23</c:v>
                </c:pt>
                <c:pt idx="467">
                  <c:v>6.59</c:v>
                </c:pt>
                <c:pt idx="468">
                  <c:v>5.73</c:v>
                </c:pt>
                <c:pt idx="469">
                  <c:v>5.98</c:v>
                </c:pt>
                <c:pt idx="470">
                  <c:v>6.57</c:v>
                </c:pt>
                <c:pt idx="471">
                  <c:v>6.98</c:v>
                </c:pt>
                <c:pt idx="472">
                  <c:v>6.29</c:v>
                </c:pt>
                <c:pt idx="473">
                  <c:v>8.1</c:v>
                </c:pt>
                <c:pt idx="474">
                  <c:v>8.6999999999999993</c:v>
                </c:pt>
                <c:pt idx="475">
                  <c:v>8.77</c:v>
                </c:pt>
                <c:pt idx="476">
                  <c:v>8.1300000000000008</c:v>
                </c:pt>
                <c:pt idx="477">
                  <c:v>7.13</c:v>
                </c:pt>
                <c:pt idx="478">
                  <c:v>8.19</c:v>
                </c:pt>
                <c:pt idx="479">
                  <c:v>6.22</c:v>
                </c:pt>
                <c:pt idx="480">
                  <c:v>7.14</c:v>
                </c:pt>
                <c:pt idx="481">
                  <c:v>8.19</c:v>
                </c:pt>
                <c:pt idx="482">
                  <c:v>7.65</c:v>
                </c:pt>
                <c:pt idx="483">
                  <c:v>8.3699999999999992</c:v>
                </c:pt>
                <c:pt idx="484">
                  <c:v>6.62</c:v>
                </c:pt>
                <c:pt idx="485">
                  <c:v>8.48</c:v>
                </c:pt>
                <c:pt idx="486">
                  <c:v>8.7200000000000006</c:v>
                </c:pt>
                <c:pt idx="487">
                  <c:v>6.02</c:v>
                </c:pt>
                <c:pt idx="488">
                  <c:v>6.91</c:v>
                </c:pt>
                <c:pt idx="489">
                  <c:v>8.15</c:v>
                </c:pt>
                <c:pt idx="490">
                  <c:v>5.59</c:v>
                </c:pt>
                <c:pt idx="491">
                  <c:v>5.44</c:v>
                </c:pt>
                <c:pt idx="492">
                  <c:v>5.74</c:v>
                </c:pt>
                <c:pt idx="493">
                  <c:v>6.69</c:v>
                </c:pt>
                <c:pt idx="494">
                  <c:v>5.48</c:v>
                </c:pt>
                <c:pt idx="495">
                  <c:v>6.28</c:v>
                </c:pt>
                <c:pt idx="496">
                  <c:v>5.53</c:v>
                </c:pt>
                <c:pt idx="497">
                  <c:v>8.0500000000000007</c:v>
                </c:pt>
                <c:pt idx="498">
                  <c:v>7.94</c:v>
                </c:pt>
                <c:pt idx="499">
                  <c:v>8.06</c:v>
                </c:pt>
                <c:pt idx="500">
                  <c:v>8.14</c:v>
                </c:pt>
                <c:pt idx="501">
                  <c:v>8.6</c:v>
                </c:pt>
                <c:pt idx="502">
                  <c:v>6.66</c:v>
                </c:pt>
                <c:pt idx="503">
                  <c:v>6.7</c:v>
                </c:pt>
                <c:pt idx="504">
                  <c:v>7.75</c:v>
                </c:pt>
                <c:pt idx="505">
                  <c:v>7.26</c:v>
                </c:pt>
                <c:pt idx="506">
                  <c:v>7.74</c:v>
                </c:pt>
                <c:pt idx="507">
                  <c:v>6.32</c:v>
                </c:pt>
                <c:pt idx="508">
                  <c:v>8.02</c:v>
                </c:pt>
                <c:pt idx="509">
                  <c:v>8.0399999999999991</c:v>
                </c:pt>
                <c:pt idx="510">
                  <c:v>8.17</c:v>
                </c:pt>
                <c:pt idx="511">
                  <c:v>7.53</c:v>
                </c:pt>
                <c:pt idx="512">
                  <c:v>5.96</c:v>
                </c:pt>
                <c:pt idx="513">
                  <c:v>6.36</c:v>
                </c:pt>
                <c:pt idx="514">
                  <c:v>6.59</c:v>
                </c:pt>
                <c:pt idx="515">
                  <c:v>5.98</c:v>
                </c:pt>
                <c:pt idx="516">
                  <c:v>6.32</c:v>
                </c:pt>
                <c:pt idx="517">
                  <c:v>7.97</c:v>
                </c:pt>
                <c:pt idx="518">
                  <c:v>8.1199999999999992</c:v>
                </c:pt>
                <c:pt idx="519">
                  <c:v>5.76</c:v>
                </c:pt>
                <c:pt idx="520">
                  <c:v>8.42</c:v>
                </c:pt>
                <c:pt idx="521">
                  <c:v>6.53</c:v>
                </c:pt>
                <c:pt idx="522">
                  <c:v>7.97</c:v>
                </c:pt>
                <c:pt idx="523">
                  <c:v>7.7</c:v>
                </c:pt>
                <c:pt idx="524">
                  <c:v>7.27</c:v>
                </c:pt>
                <c:pt idx="525">
                  <c:v>7.13</c:v>
                </c:pt>
                <c:pt idx="526">
                  <c:v>7</c:v>
                </c:pt>
                <c:pt idx="527">
                  <c:v>6.29</c:v>
                </c:pt>
                <c:pt idx="528">
                  <c:v>8.09</c:v>
                </c:pt>
                <c:pt idx="529">
                  <c:v>7.73</c:v>
                </c:pt>
                <c:pt idx="530">
                  <c:v>6.28</c:v>
                </c:pt>
                <c:pt idx="531">
                  <c:v>6.13</c:v>
                </c:pt>
                <c:pt idx="532">
                  <c:v>6.12</c:v>
                </c:pt>
                <c:pt idx="533">
                  <c:v>6.87</c:v>
                </c:pt>
                <c:pt idx="534">
                  <c:v>5.99</c:v>
                </c:pt>
                <c:pt idx="535">
                  <c:v>7.81</c:v>
                </c:pt>
                <c:pt idx="536">
                  <c:v>5.96</c:v>
                </c:pt>
                <c:pt idx="537">
                  <c:v>5.49</c:v>
                </c:pt>
                <c:pt idx="538">
                  <c:v>8.7200000000000006</c:v>
                </c:pt>
                <c:pt idx="539">
                  <c:v>8.73</c:v>
                </c:pt>
                <c:pt idx="540">
                  <c:v>8.98</c:v>
                </c:pt>
                <c:pt idx="541">
                  <c:v>7.24</c:v>
                </c:pt>
                <c:pt idx="542">
                  <c:v>8.51</c:v>
                </c:pt>
                <c:pt idx="543">
                  <c:v>8.24</c:v>
                </c:pt>
                <c:pt idx="544">
                  <c:v>5.78</c:v>
                </c:pt>
                <c:pt idx="545">
                  <c:v>8.7899999999999991</c:v>
                </c:pt>
                <c:pt idx="546">
                  <c:v>8.18</c:v>
                </c:pt>
                <c:pt idx="547">
                  <c:v>8.15</c:v>
                </c:pt>
                <c:pt idx="548">
                  <c:v>5.24</c:v>
                </c:pt>
                <c:pt idx="549">
                  <c:v>7.54</c:v>
                </c:pt>
                <c:pt idx="550">
                  <c:v>8</c:v>
                </c:pt>
                <c:pt idx="551">
                  <c:v>8</c:v>
                </c:pt>
                <c:pt idx="552">
                  <c:v>7.44</c:v>
                </c:pt>
                <c:pt idx="553">
                  <c:v>7.75</c:v>
                </c:pt>
                <c:pt idx="554">
                  <c:v>6.57</c:v>
                </c:pt>
                <c:pt idx="555">
                  <c:v>7.1</c:v>
                </c:pt>
                <c:pt idx="556">
                  <c:v>6.27</c:v>
                </c:pt>
                <c:pt idx="557">
                  <c:v>7.36</c:v>
                </c:pt>
                <c:pt idx="558">
                  <c:v>6.32</c:v>
                </c:pt>
                <c:pt idx="559">
                  <c:v>7.38</c:v>
                </c:pt>
                <c:pt idx="560">
                  <c:v>8.5</c:v>
                </c:pt>
                <c:pt idx="561">
                  <c:v>8.51</c:v>
                </c:pt>
                <c:pt idx="562">
                  <c:v>7.21</c:v>
                </c:pt>
                <c:pt idx="563">
                  <c:v>6.68</c:v>
                </c:pt>
                <c:pt idx="564">
                  <c:v>6.33</c:v>
                </c:pt>
                <c:pt idx="565">
                  <c:v>5.29</c:v>
                </c:pt>
                <c:pt idx="566">
                  <c:v>6.11</c:v>
                </c:pt>
                <c:pt idx="567">
                  <c:v>5.65</c:v>
                </c:pt>
                <c:pt idx="568">
                  <c:v>5.87</c:v>
                </c:pt>
                <c:pt idx="569">
                  <c:v>6.06</c:v>
                </c:pt>
                <c:pt idx="570">
                  <c:v>5.4</c:v>
                </c:pt>
                <c:pt idx="571">
                  <c:v>5.7</c:v>
                </c:pt>
                <c:pt idx="572">
                  <c:v>5.41</c:v>
                </c:pt>
                <c:pt idx="573">
                  <c:v>8.2899999999999991</c:v>
                </c:pt>
                <c:pt idx="574">
                  <c:v>8.1999999999999993</c:v>
                </c:pt>
                <c:pt idx="575">
                  <c:v>7.06</c:v>
                </c:pt>
                <c:pt idx="576">
                  <c:v>6.51</c:v>
                </c:pt>
                <c:pt idx="577">
                  <c:v>6.43</c:v>
                </c:pt>
                <c:pt idx="578">
                  <c:v>7.38</c:v>
                </c:pt>
                <c:pt idx="579">
                  <c:v>7.58</c:v>
                </c:pt>
                <c:pt idx="580">
                  <c:v>7.21</c:v>
                </c:pt>
                <c:pt idx="581">
                  <c:v>7.6</c:v>
                </c:pt>
                <c:pt idx="582">
                  <c:v>6.24</c:v>
                </c:pt>
                <c:pt idx="583">
                  <c:v>8.35</c:v>
                </c:pt>
                <c:pt idx="584">
                  <c:v>8.02</c:v>
                </c:pt>
                <c:pt idx="585">
                  <c:v>6.43</c:v>
                </c:pt>
                <c:pt idx="586">
                  <c:v>5.84</c:v>
                </c:pt>
                <c:pt idx="587">
                  <c:v>7.2</c:v>
                </c:pt>
                <c:pt idx="588">
                  <c:v>6.15</c:v>
                </c:pt>
                <c:pt idx="589">
                  <c:v>5.86</c:v>
                </c:pt>
                <c:pt idx="590">
                  <c:v>5.41</c:v>
                </c:pt>
                <c:pt idx="591">
                  <c:v>6.13</c:v>
                </c:pt>
                <c:pt idx="592">
                  <c:v>6.01</c:v>
                </c:pt>
                <c:pt idx="593">
                  <c:v>5.69</c:v>
                </c:pt>
                <c:pt idx="594">
                  <c:v>7.38</c:v>
                </c:pt>
                <c:pt idx="595">
                  <c:v>8.35</c:v>
                </c:pt>
                <c:pt idx="596">
                  <c:v>7.18</c:v>
                </c:pt>
                <c:pt idx="597">
                  <c:v>7.26</c:v>
                </c:pt>
                <c:pt idx="598">
                  <c:v>8.3800000000000008</c:v>
                </c:pt>
                <c:pt idx="599">
                  <c:v>8.94</c:v>
                </c:pt>
                <c:pt idx="600">
                  <c:v>8.6300000000000008</c:v>
                </c:pt>
                <c:pt idx="601">
                  <c:v>6.68</c:v>
                </c:pt>
                <c:pt idx="602">
                  <c:v>6.89</c:v>
                </c:pt>
                <c:pt idx="603">
                  <c:v>7.48</c:v>
                </c:pt>
                <c:pt idx="604">
                  <c:v>5.52</c:v>
                </c:pt>
                <c:pt idx="605">
                  <c:v>7.26</c:v>
                </c:pt>
                <c:pt idx="606">
                  <c:v>5.95</c:v>
                </c:pt>
                <c:pt idx="607">
                  <c:v>6.95</c:v>
                </c:pt>
                <c:pt idx="608">
                  <c:v>6.74</c:v>
                </c:pt>
                <c:pt idx="609">
                  <c:v>6.14</c:v>
                </c:pt>
                <c:pt idx="610">
                  <c:v>5.96</c:v>
                </c:pt>
                <c:pt idx="611">
                  <c:v>5.16</c:v>
                </c:pt>
                <c:pt idx="612">
                  <c:v>8.34</c:v>
                </c:pt>
                <c:pt idx="613">
                  <c:v>7.31</c:v>
                </c:pt>
                <c:pt idx="614">
                  <c:v>7.16</c:v>
                </c:pt>
                <c:pt idx="615">
                  <c:v>7.79</c:v>
                </c:pt>
                <c:pt idx="616">
                  <c:v>6.91</c:v>
                </c:pt>
                <c:pt idx="617">
                  <c:v>6.16</c:v>
                </c:pt>
                <c:pt idx="618">
                  <c:v>8.06</c:v>
                </c:pt>
                <c:pt idx="619">
                  <c:v>6.45</c:v>
                </c:pt>
                <c:pt idx="620">
                  <c:v>6.24</c:v>
                </c:pt>
                <c:pt idx="621">
                  <c:v>6.53</c:v>
                </c:pt>
                <c:pt idx="622">
                  <c:v>6.35</c:v>
                </c:pt>
              </c:numCache>
            </c:numRef>
          </c:yVal>
          <c:smooth val="0"/>
          <c:extLst>
            <c:ext xmlns:c16="http://schemas.microsoft.com/office/drawing/2014/chart" uri="{C3380CC4-5D6E-409C-BE32-E72D297353CC}">
              <c16:uniqueId val="{00000000-6E4D-410E-85DD-16F6F1506DF0}"/>
            </c:ext>
          </c:extLst>
        </c:ser>
        <c:dLbls>
          <c:showLegendKey val="0"/>
          <c:showVal val="0"/>
          <c:showCatName val="0"/>
          <c:showSerName val="0"/>
          <c:showPercent val="0"/>
          <c:showBubbleSize val="0"/>
        </c:dLbls>
        <c:axId val="1452600479"/>
        <c:axId val="1452597599"/>
      </c:scatterChart>
      <c:valAx>
        <c:axId val="1452600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597599"/>
        <c:crosses val="autoZero"/>
        <c:crossBetween val="midCat"/>
      </c:valAx>
      <c:valAx>
        <c:axId val="1452597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6004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[AnimeDashboard.xlsx]PivotTable1!PivotTable18</c:name>
    <c:fmtId val="0"/>
  </c:pivotSource>
  <c:chart>
    <c:autoTitleDeleted val="0"/>
    <c:pivotFmts>
      <c:pivotFmt>
        <c:idx val="0"/>
        <c:spPr>
          <a:gradFill rotWithShape="1">
            <a:gsLst>
              <a:gs pos="0">
                <a:schemeClr val="accent1">
                  <a:lumMod val="5000"/>
                  <a:lumOff val="95000"/>
                </a:schemeClr>
              </a:gs>
              <a:gs pos="44000">
                <a:srgbClr val="A88BF9"/>
              </a:gs>
              <a:gs pos="100000">
                <a:srgbClr val="1E1A47"/>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gradFill>
              <a:gsLst>
                <a:gs pos="0">
                  <a:schemeClr val="tx1"/>
                </a:gs>
                <a:gs pos="36000">
                  <a:srgbClr val="002060"/>
                </a:gs>
                <a:gs pos="100000">
                  <a:srgbClr val="7030A0"/>
                </a:gs>
              </a:gsLst>
              <a:lin ang="5400000" scaled="1"/>
            </a:gra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PivotTable1!$C$87</c:f>
              <c:strCache>
                <c:ptCount val="1"/>
                <c:pt idx="0">
                  <c:v>Average of Rating/Score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PivotTable1!$A$88:$A$92</c:f>
              <c:strCache>
                <c:ptCount val="4"/>
                <c:pt idx="0">
                  <c:v>Winter</c:v>
                </c:pt>
                <c:pt idx="1">
                  <c:v>Summer</c:v>
                </c:pt>
                <c:pt idx="2">
                  <c:v>Spring</c:v>
                </c:pt>
                <c:pt idx="3">
                  <c:v>Fall</c:v>
                </c:pt>
              </c:strCache>
            </c:strRef>
          </c:cat>
          <c:val>
            <c:numRef>
              <c:f>PivotTable1!$C$88:$C$92</c:f>
              <c:numCache>
                <c:formatCode>0.00</c:formatCode>
                <c:ptCount val="4"/>
                <c:pt idx="0">
                  <c:v>7.1401805054151568</c:v>
                </c:pt>
                <c:pt idx="1">
                  <c:v>7.1755072463768137</c:v>
                </c:pt>
                <c:pt idx="2">
                  <c:v>7.0796825396825396</c:v>
                </c:pt>
                <c:pt idx="3">
                  <c:v>7.093536585365853</c:v>
                </c:pt>
              </c:numCache>
            </c:numRef>
          </c:val>
          <c:extLst>
            <c:ext xmlns:c16="http://schemas.microsoft.com/office/drawing/2014/chart" uri="{C3380CC4-5D6E-409C-BE32-E72D297353CC}">
              <c16:uniqueId val="{00000001-A9FC-414B-9FC6-72BD2DA080AC}"/>
            </c:ext>
          </c:extLst>
        </c:ser>
        <c:dLbls>
          <c:showLegendKey val="0"/>
          <c:showVal val="0"/>
          <c:showCatName val="0"/>
          <c:showSerName val="0"/>
          <c:showPercent val="0"/>
          <c:showBubbleSize val="0"/>
        </c:dLbls>
        <c:gapWidth val="219"/>
        <c:overlap val="-27"/>
        <c:axId val="1447423375"/>
        <c:axId val="1447424335"/>
      </c:barChart>
      <c:barChart>
        <c:barDir val="col"/>
        <c:grouping val="clustered"/>
        <c:varyColors val="0"/>
        <c:ser>
          <c:idx val="0"/>
          <c:order val="0"/>
          <c:tx>
            <c:strRef>
              <c:f>PivotTable1!$B$87</c:f>
              <c:strCache>
                <c:ptCount val="1"/>
                <c:pt idx="0">
                  <c:v>Count of Anime Title</c:v>
                </c:pt>
              </c:strCache>
            </c:strRef>
          </c:tx>
          <c:spPr>
            <a:gradFill rotWithShape="1">
              <a:gsLst>
                <a:gs pos="0">
                  <a:schemeClr val="accent1">
                    <a:lumMod val="5000"/>
                    <a:lumOff val="95000"/>
                  </a:schemeClr>
                </a:gs>
                <a:gs pos="44000">
                  <a:srgbClr val="A88BF9"/>
                </a:gs>
                <a:gs pos="100000">
                  <a:srgbClr val="1E1A47"/>
                </a:gs>
              </a:gsLst>
              <a:lin ang="5400000" scaled="1"/>
            </a:gradFill>
            <a:ln>
              <a:noFill/>
            </a:ln>
            <a:effectLst/>
          </c:spPr>
          <c:invertIfNegative val="0"/>
          <c:cat>
            <c:strRef>
              <c:f>PivotTable1!$A$88:$A$92</c:f>
              <c:strCache>
                <c:ptCount val="4"/>
                <c:pt idx="0">
                  <c:v>Winter</c:v>
                </c:pt>
                <c:pt idx="1">
                  <c:v>Summer</c:v>
                </c:pt>
                <c:pt idx="2">
                  <c:v>Spring</c:v>
                </c:pt>
                <c:pt idx="3">
                  <c:v>Fall</c:v>
                </c:pt>
              </c:strCache>
            </c:strRef>
          </c:cat>
          <c:val>
            <c:numRef>
              <c:f>PivotTable1!$B$88:$B$92</c:f>
              <c:numCache>
                <c:formatCode>General</c:formatCode>
                <c:ptCount val="4"/>
                <c:pt idx="0">
                  <c:v>277</c:v>
                </c:pt>
                <c:pt idx="1">
                  <c:v>138</c:v>
                </c:pt>
                <c:pt idx="2">
                  <c:v>126</c:v>
                </c:pt>
                <c:pt idx="3">
                  <c:v>82</c:v>
                </c:pt>
              </c:numCache>
            </c:numRef>
          </c:val>
          <c:extLst>
            <c:ext xmlns:c16="http://schemas.microsoft.com/office/drawing/2014/chart" uri="{C3380CC4-5D6E-409C-BE32-E72D297353CC}">
              <c16:uniqueId val="{00000000-A9FC-414B-9FC6-72BD2DA080AC}"/>
            </c:ext>
          </c:extLst>
        </c:ser>
        <c:dLbls>
          <c:showLegendKey val="0"/>
          <c:showVal val="0"/>
          <c:showCatName val="0"/>
          <c:showSerName val="0"/>
          <c:showPercent val="0"/>
          <c:showBubbleSize val="0"/>
        </c:dLbls>
        <c:gapWidth val="219"/>
        <c:overlap val="-27"/>
        <c:axId val="437979887"/>
        <c:axId val="437976527"/>
      </c:barChart>
      <c:lineChart>
        <c:grouping val="standard"/>
        <c:varyColors val="0"/>
        <c:ser>
          <c:idx val="2"/>
          <c:order val="2"/>
          <c:tx>
            <c:strRef>
              <c:f>PivotTable1!$D$87</c:f>
              <c:strCache>
                <c:ptCount val="1"/>
                <c:pt idx="0">
                  <c:v>Sum of Popularity/Members</c:v>
                </c:pt>
              </c:strCache>
            </c:strRef>
          </c:tx>
          <c:spPr>
            <a:ln w="31750" cap="rnd">
              <a:gradFill>
                <a:gsLst>
                  <a:gs pos="0">
                    <a:schemeClr val="tx1"/>
                  </a:gs>
                  <a:gs pos="36000">
                    <a:srgbClr val="002060"/>
                  </a:gs>
                  <a:gs pos="100000">
                    <a:srgbClr val="7030A0"/>
                  </a:gs>
                </a:gsLst>
                <a:lin ang="5400000" scaled="1"/>
              </a:gra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cat>
            <c:strRef>
              <c:f>PivotTable1!$A$88:$A$92</c:f>
              <c:strCache>
                <c:ptCount val="4"/>
                <c:pt idx="0">
                  <c:v>Winter</c:v>
                </c:pt>
                <c:pt idx="1">
                  <c:v>Summer</c:v>
                </c:pt>
                <c:pt idx="2">
                  <c:v>Spring</c:v>
                </c:pt>
                <c:pt idx="3">
                  <c:v>Fall</c:v>
                </c:pt>
              </c:strCache>
            </c:strRef>
          </c:cat>
          <c:val>
            <c:numRef>
              <c:f>PivotTable1!$D$88:$D$92</c:f>
              <c:numCache>
                <c:formatCode>General</c:formatCode>
                <c:ptCount val="4"/>
                <c:pt idx="0">
                  <c:v>60050996</c:v>
                </c:pt>
                <c:pt idx="1">
                  <c:v>27444535</c:v>
                </c:pt>
                <c:pt idx="2">
                  <c:v>27086938</c:v>
                </c:pt>
                <c:pt idx="3">
                  <c:v>16301464</c:v>
                </c:pt>
              </c:numCache>
            </c:numRef>
          </c:val>
          <c:smooth val="0"/>
          <c:extLst>
            <c:ext xmlns:c16="http://schemas.microsoft.com/office/drawing/2014/chart" uri="{C3380CC4-5D6E-409C-BE32-E72D297353CC}">
              <c16:uniqueId val="{00000002-A9FC-414B-9FC6-72BD2DA080AC}"/>
            </c:ext>
          </c:extLst>
        </c:ser>
        <c:dLbls>
          <c:showLegendKey val="0"/>
          <c:showVal val="0"/>
          <c:showCatName val="0"/>
          <c:showSerName val="0"/>
          <c:showPercent val="0"/>
          <c:showBubbleSize val="0"/>
        </c:dLbls>
        <c:marker val="1"/>
        <c:smooth val="0"/>
        <c:axId val="1447423375"/>
        <c:axId val="1447424335"/>
      </c:lineChart>
      <c:catAx>
        <c:axId val="144742337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7424335"/>
        <c:crosses val="autoZero"/>
        <c:auto val="1"/>
        <c:lblAlgn val="ctr"/>
        <c:lblOffset val="100"/>
        <c:noMultiLvlLbl val="0"/>
      </c:catAx>
      <c:valAx>
        <c:axId val="1447424335"/>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7423375"/>
        <c:crosses val="autoZero"/>
        <c:crossBetween val="between"/>
      </c:valAx>
      <c:valAx>
        <c:axId val="437976527"/>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37979887"/>
        <c:crosses val="max"/>
        <c:crossBetween val="between"/>
      </c:valAx>
      <c:catAx>
        <c:axId val="437979887"/>
        <c:scaling>
          <c:orientation val="minMax"/>
        </c:scaling>
        <c:delete val="1"/>
        <c:axPos val="b"/>
        <c:numFmt formatCode="General" sourceLinked="1"/>
        <c:majorTickMark val="none"/>
        <c:minorTickMark val="none"/>
        <c:tickLblPos val="nextTo"/>
        <c:crossAx val="43797652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A47">
        <a:alpha val="65098"/>
      </a:srgb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[AnimeDashboard.xlsx]PivotTable1!PivotTable1</c:name>
    <c:fmtId val="8"/>
  </c:pivotSource>
  <c:chart>
    <c:autoTitleDeleted val="1"/>
    <c:pivotFmts>
      <c:pivotFmt>
        <c:idx val="0"/>
        <c:spPr>
          <a:gradFill rotWithShape="1">
            <a:gsLst>
              <a:gs pos="0">
                <a:schemeClr val="tx2">
                  <a:lumMod val="25000"/>
                  <a:lumOff val="75000"/>
                </a:schemeClr>
              </a:gs>
              <a:gs pos="45000">
                <a:schemeClr val="tx2">
                  <a:lumMod val="75000"/>
                  <a:lumOff val="25000"/>
                </a:schemeClr>
              </a:gs>
              <a:gs pos="98000">
                <a:schemeClr val="tx2">
                  <a:lumMod val="90000"/>
                  <a:lumOff val="10000"/>
                </a:schemeClr>
              </a:gs>
            </a:gsLst>
            <a:lin ang="5400000" scaled="1"/>
          </a:gradFill>
          <a:ln>
            <a:gradFill>
              <a:gsLst>
                <a:gs pos="0">
                  <a:schemeClr val="accent1">
                    <a:lumMod val="5000"/>
                    <a:lumOff val="95000"/>
                  </a:schemeClr>
                </a:gs>
                <a:gs pos="54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tx2">
                  <a:lumMod val="25000"/>
                  <a:lumOff val="75000"/>
                </a:schemeClr>
              </a:gs>
              <a:gs pos="45000">
                <a:schemeClr val="tx2">
                  <a:lumMod val="75000"/>
                  <a:lumOff val="25000"/>
                </a:schemeClr>
              </a:gs>
              <a:gs pos="98000">
                <a:schemeClr val="tx2">
                  <a:lumMod val="90000"/>
                  <a:lumOff val="10000"/>
                </a:schemeClr>
              </a:gs>
            </a:gsLst>
            <a:lin ang="5400000" scaled="1"/>
          </a:gradFill>
          <a:ln>
            <a:gradFill>
              <a:gsLst>
                <a:gs pos="0">
                  <a:schemeClr val="accent1">
                    <a:lumMod val="5000"/>
                    <a:lumOff val="95000"/>
                  </a:schemeClr>
                </a:gs>
                <a:gs pos="54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tx2">
                  <a:lumMod val="25000"/>
                  <a:lumOff val="75000"/>
                </a:schemeClr>
              </a:gs>
              <a:gs pos="45000">
                <a:schemeClr val="tx2">
                  <a:lumMod val="75000"/>
                  <a:lumOff val="25000"/>
                </a:schemeClr>
              </a:gs>
              <a:gs pos="98000">
                <a:schemeClr val="tx2">
                  <a:lumMod val="90000"/>
                  <a:lumOff val="10000"/>
                </a:schemeClr>
              </a:gs>
            </a:gsLst>
            <a:lin ang="5400000" scaled="1"/>
          </a:gradFill>
          <a:ln>
            <a:gradFill>
              <a:gsLst>
                <a:gs pos="0">
                  <a:schemeClr val="accent1">
                    <a:lumMod val="5000"/>
                    <a:lumOff val="95000"/>
                  </a:schemeClr>
                </a:gs>
                <a:gs pos="54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tx2">
                  <a:lumMod val="25000"/>
                  <a:lumOff val="75000"/>
                </a:schemeClr>
              </a:gs>
              <a:gs pos="45000">
                <a:schemeClr val="tx2">
                  <a:lumMod val="75000"/>
                  <a:lumOff val="25000"/>
                </a:schemeClr>
              </a:gs>
              <a:gs pos="98000">
                <a:schemeClr val="tx2">
                  <a:lumMod val="90000"/>
                  <a:lumOff val="10000"/>
                </a:schemeClr>
              </a:gs>
            </a:gsLst>
            <a:lin ang="5400000" scaled="1"/>
          </a:gradFill>
          <a:ln>
            <a:gradFill>
              <a:gsLst>
                <a:gs pos="0">
                  <a:schemeClr val="accent1">
                    <a:lumMod val="5000"/>
                    <a:lumOff val="95000"/>
                  </a:schemeClr>
                </a:gs>
                <a:gs pos="54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PivotTable1!$B$3</c:f>
              <c:strCache>
                <c:ptCount val="1"/>
                <c:pt idx="0">
                  <c:v>Total</c:v>
                </c:pt>
              </c:strCache>
            </c:strRef>
          </c:tx>
          <c:spPr>
            <a:gradFill rotWithShape="1">
              <a:gsLst>
                <a:gs pos="0">
                  <a:schemeClr val="tx2">
                    <a:lumMod val="25000"/>
                    <a:lumOff val="75000"/>
                  </a:schemeClr>
                </a:gs>
                <a:gs pos="45000">
                  <a:schemeClr val="tx2">
                    <a:lumMod val="75000"/>
                    <a:lumOff val="25000"/>
                  </a:schemeClr>
                </a:gs>
                <a:gs pos="98000">
                  <a:schemeClr val="tx2">
                    <a:lumMod val="90000"/>
                    <a:lumOff val="10000"/>
                  </a:schemeClr>
                </a:gs>
              </a:gsLst>
              <a:lin ang="5400000" scaled="1"/>
            </a:gradFill>
            <a:ln>
              <a:gradFill>
                <a:gsLst>
                  <a:gs pos="0">
                    <a:schemeClr val="accent1">
                      <a:lumMod val="5000"/>
                      <a:lumOff val="95000"/>
                    </a:schemeClr>
                  </a:gs>
                  <a:gs pos="54000">
                    <a:schemeClr val="accent1">
                      <a:lumMod val="45000"/>
                      <a:lumOff val="55000"/>
                    </a:schemeClr>
                  </a:gs>
                  <a:gs pos="100000">
                    <a:schemeClr val="accent1">
                      <a:lumMod val="30000"/>
                      <a:lumOff val="70000"/>
                    </a:schemeClr>
                  </a:gs>
                </a:gsLst>
                <a:lin ang="5400000" scaled="1"/>
              </a:gradFill>
            </a:ln>
            <a:effectLst>
              <a:outerShdw blurRad="57150" dist="19050" dir="5400000" algn="ctr" rotWithShape="0">
                <a:srgbClr val="000000">
                  <a:alpha val="63000"/>
                </a:srgbClr>
              </a:outerShdw>
            </a:effectLst>
          </c:spPr>
          <c:invertIfNegative val="0"/>
          <c:cat>
            <c:strRef>
              <c:f>PivotTable1!$A$4:$A$14</c:f>
              <c:strCache>
                <c:ptCount val="10"/>
                <c:pt idx="0">
                  <c:v>Action</c:v>
                </c:pt>
                <c:pt idx="1">
                  <c:v>Comedy</c:v>
                </c:pt>
                <c:pt idx="2">
                  <c:v>Adventure</c:v>
                </c:pt>
                <c:pt idx="3">
                  <c:v>Drama</c:v>
                </c:pt>
                <c:pt idx="4">
                  <c:v>Romance</c:v>
                </c:pt>
                <c:pt idx="5">
                  <c:v>Fantasy</c:v>
                </c:pt>
                <c:pt idx="6">
                  <c:v>Award Winning</c:v>
                </c:pt>
                <c:pt idx="7">
                  <c:v>Slice of Life</c:v>
                </c:pt>
                <c:pt idx="8">
                  <c:v>Sports</c:v>
                </c:pt>
                <c:pt idx="9">
                  <c:v>Mystery</c:v>
                </c:pt>
              </c:strCache>
            </c:strRef>
          </c:cat>
          <c:val>
            <c:numRef>
              <c:f>PivotTable1!$B$4:$B$14</c:f>
              <c:numCache>
                <c:formatCode>General</c:formatCode>
                <c:ptCount val="10"/>
                <c:pt idx="0">
                  <c:v>64171555</c:v>
                </c:pt>
                <c:pt idx="1">
                  <c:v>17804003</c:v>
                </c:pt>
                <c:pt idx="2">
                  <c:v>16040784</c:v>
                </c:pt>
                <c:pt idx="3">
                  <c:v>13494870</c:v>
                </c:pt>
                <c:pt idx="4">
                  <c:v>7711300</c:v>
                </c:pt>
                <c:pt idx="5">
                  <c:v>3460699</c:v>
                </c:pt>
                <c:pt idx="6">
                  <c:v>1745507</c:v>
                </c:pt>
                <c:pt idx="7">
                  <c:v>1717014</c:v>
                </c:pt>
                <c:pt idx="8">
                  <c:v>1632678</c:v>
                </c:pt>
                <c:pt idx="9">
                  <c:v>1339814</c:v>
                </c:pt>
              </c:numCache>
            </c:numRef>
          </c:val>
          <c:extLst>
            <c:ext xmlns:c16="http://schemas.microsoft.com/office/drawing/2014/chart" uri="{C3380CC4-5D6E-409C-BE32-E72D297353CC}">
              <c16:uniqueId val="{00000000-3093-4BE6-A313-9F855E4BA472}"/>
            </c:ext>
          </c:extLst>
        </c:ser>
        <c:dLbls>
          <c:showLegendKey val="0"/>
          <c:showVal val="0"/>
          <c:showCatName val="0"/>
          <c:showSerName val="0"/>
          <c:showPercent val="0"/>
          <c:showBubbleSize val="0"/>
        </c:dLbls>
        <c:gapWidth val="100"/>
        <c:overlap val="-24"/>
        <c:axId val="315905568"/>
        <c:axId val="315905088"/>
      </c:barChart>
      <c:catAx>
        <c:axId val="3159055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15905088"/>
        <c:crosses val="autoZero"/>
        <c:auto val="1"/>
        <c:lblAlgn val="ctr"/>
        <c:lblOffset val="100"/>
        <c:noMultiLvlLbl val="0"/>
      </c:catAx>
      <c:valAx>
        <c:axId val="315905088"/>
        <c:scaling>
          <c:logBase val="10"/>
          <c:orientation val="minMax"/>
        </c:scaling>
        <c:delete val="0"/>
        <c:axPos val="l"/>
        <c:majorGridlines>
          <c:spPr>
            <a:ln w="9525" cap="flat" cmpd="sng" algn="ctr">
              <a:noFill/>
              <a:round/>
            </a:ln>
            <a:effectLst/>
          </c:spPr>
        </c:majorGridlines>
        <c:numFmt formatCode="General"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crossAx val="31590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A47">
        <a:alpha val="64706"/>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[AnimeDashboard.xlsx]PivotTable1!PivotTable2</c:name>
    <c:fmtId val="25"/>
  </c:pivotSource>
  <c:chart>
    <c:autoTitleDeleted val="1"/>
    <c:pivotFmts>
      <c:pivotFmt>
        <c:idx val="0"/>
        <c:spPr>
          <a:solidFill>
            <a:schemeClr val="accent1"/>
          </a:solidFill>
          <a:ln w="19050">
            <a:solidFill>
              <a:schemeClr val="lt1"/>
            </a:solidFill>
          </a:ln>
          <a:effectLst/>
        </c:spPr>
        <c:marker>
          <c:symbol val="circle"/>
          <c:size val="5"/>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noFill/>
          </a:ln>
          <a:effectLst/>
        </c:spPr>
      </c:pivotFmt>
      <c:pivotFmt>
        <c:idx val="15"/>
        <c:spPr>
          <a:solidFill>
            <a:schemeClr val="accent1"/>
          </a:solidFill>
          <a:ln w="19050">
            <a:noFill/>
          </a:ln>
          <a:effectLst/>
        </c:spPr>
      </c:pivotFmt>
      <c:pivotFmt>
        <c:idx val="16"/>
        <c:spPr>
          <a:solidFill>
            <a:schemeClr val="accent1"/>
          </a:solidFill>
          <a:ln w="19050">
            <a:noFill/>
          </a:ln>
          <a:effectLst/>
        </c:spPr>
      </c:pivotFmt>
      <c:pivotFmt>
        <c:idx val="17"/>
        <c:spPr>
          <a:solidFill>
            <a:schemeClr val="accent1"/>
          </a:solidFill>
          <a:ln w="19050">
            <a:noFill/>
          </a:ln>
          <a:effectLst/>
        </c:spPr>
      </c:pivotFmt>
      <c:pivotFmt>
        <c:idx val="18"/>
        <c:spPr>
          <a:solidFill>
            <a:schemeClr val="accent1"/>
          </a:solidFill>
          <a:ln w="19050">
            <a:noFill/>
          </a:ln>
          <a:effectLst/>
        </c:spPr>
      </c:pivotFmt>
      <c:pivotFmt>
        <c:idx val="19"/>
        <c:spPr>
          <a:solidFill>
            <a:schemeClr val="accent1"/>
          </a:solidFill>
          <a:ln w="19050">
            <a:noFill/>
          </a:ln>
          <a:effectLst/>
        </c:spPr>
      </c:pivotFmt>
      <c:pivotFmt>
        <c:idx val="20"/>
        <c:spPr>
          <a:solidFill>
            <a:schemeClr val="accent1"/>
          </a:solidFill>
          <a:ln w="19050">
            <a:noFill/>
          </a:ln>
          <a:effectLst/>
        </c:spPr>
      </c:pivotFmt>
      <c:pivotFmt>
        <c:idx val="21"/>
        <c:spPr>
          <a:solidFill>
            <a:schemeClr val="accent1"/>
          </a:solidFill>
          <a:ln w="19050">
            <a:noFill/>
          </a:ln>
          <a:effectLst/>
        </c:spPr>
      </c:pivotFmt>
      <c:pivotFmt>
        <c:idx val="22"/>
        <c:spPr>
          <a:solidFill>
            <a:schemeClr val="accent1"/>
          </a:solidFill>
          <a:ln w="19050">
            <a:noFill/>
          </a:ln>
          <a:effectLst/>
        </c:spPr>
      </c:pivotFmt>
      <c:pivotFmt>
        <c:idx val="23"/>
        <c:spPr>
          <a:solidFill>
            <a:schemeClr val="accent1"/>
          </a:solidFill>
          <a:ln w="19050">
            <a:noFill/>
          </a:ln>
          <a:effectLst/>
        </c:spPr>
      </c:pivotFmt>
      <c:pivotFmt>
        <c:idx val="24"/>
        <c:spPr>
          <a:solidFill>
            <a:schemeClr val="accent1"/>
          </a:solidFill>
          <a:ln w="19050">
            <a:noFill/>
          </a:ln>
          <a:effectLst/>
        </c:spPr>
      </c:pivotFmt>
    </c:pivotFmts>
    <c:plotArea>
      <c:layout/>
      <c:doughnutChart>
        <c:varyColors val="1"/>
        <c:ser>
          <c:idx val="0"/>
          <c:order val="0"/>
          <c:tx>
            <c:strRef>
              <c:f>PivotTable1!$B$21</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3C10-4BE7-9329-63DE35347110}"/>
              </c:ext>
            </c:extLst>
          </c:dPt>
          <c:dPt>
            <c:idx val="1"/>
            <c:bubble3D val="0"/>
            <c:spPr>
              <a:solidFill>
                <a:schemeClr val="accent2"/>
              </a:solidFill>
              <a:ln w="19050">
                <a:noFill/>
              </a:ln>
              <a:effectLst/>
            </c:spPr>
            <c:extLst>
              <c:ext xmlns:c16="http://schemas.microsoft.com/office/drawing/2014/chart" uri="{C3380CC4-5D6E-409C-BE32-E72D297353CC}">
                <c16:uniqueId val="{00000003-3C10-4BE7-9329-63DE35347110}"/>
              </c:ext>
            </c:extLst>
          </c:dPt>
          <c:dPt>
            <c:idx val="2"/>
            <c:bubble3D val="0"/>
            <c:spPr>
              <a:solidFill>
                <a:schemeClr val="accent3"/>
              </a:solidFill>
              <a:ln w="19050">
                <a:noFill/>
              </a:ln>
              <a:effectLst/>
            </c:spPr>
            <c:extLst>
              <c:ext xmlns:c16="http://schemas.microsoft.com/office/drawing/2014/chart" uri="{C3380CC4-5D6E-409C-BE32-E72D297353CC}">
                <c16:uniqueId val="{00000005-3C10-4BE7-9329-63DE35347110}"/>
              </c:ext>
            </c:extLst>
          </c:dPt>
          <c:dPt>
            <c:idx val="3"/>
            <c:bubble3D val="0"/>
            <c:spPr>
              <a:solidFill>
                <a:schemeClr val="accent4"/>
              </a:solidFill>
              <a:ln w="19050">
                <a:noFill/>
              </a:ln>
              <a:effectLst/>
            </c:spPr>
            <c:extLst>
              <c:ext xmlns:c16="http://schemas.microsoft.com/office/drawing/2014/chart" uri="{C3380CC4-5D6E-409C-BE32-E72D297353CC}">
                <c16:uniqueId val="{00000007-3C10-4BE7-9329-63DE35347110}"/>
              </c:ext>
            </c:extLst>
          </c:dPt>
          <c:dPt>
            <c:idx val="4"/>
            <c:bubble3D val="0"/>
            <c:spPr>
              <a:solidFill>
                <a:schemeClr val="accent5"/>
              </a:solidFill>
              <a:ln w="19050">
                <a:noFill/>
              </a:ln>
              <a:effectLst/>
            </c:spPr>
            <c:extLst>
              <c:ext xmlns:c16="http://schemas.microsoft.com/office/drawing/2014/chart" uri="{C3380CC4-5D6E-409C-BE32-E72D297353CC}">
                <c16:uniqueId val="{00000009-3C10-4BE7-9329-63DE35347110}"/>
              </c:ext>
            </c:extLst>
          </c:dPt>
          <c:dPt>
            <c:idx val="5"/>
            <c:bubble3D val="0"/>
            <c:spPr>
              <a:solidFill>
                <a:schemeClr val="accent6"/>
              </a:solidFill>
              <a:ln w="19050">
                <a:noFill/>
              </a:ln>
              <a:effectLst/>
            </c:spPr>
            <c:extLst>
              <c:ext xmlns:c16="http://schemas.microsoft.com/office/drawing/2014/chart" uri="{C3380CC4-5D6E-409C-BE32-E72D297353CC}">
                <c16:uniqueId val="{0000000B-3C10-4BE7-9329-63DE35347110}"/>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3C10-4BE7-9329-63DE35347110}"/>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3C10-4BE7-9329-63DE35347110}"/>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3C10-4BE7-9329-63DE35347110}"/>
              </c:ext>
            </c:extLst>
          </c:dPt>
          <c:dPt>
            <c:idx val="9"/>
            <c:bubble3D val="0"/>
            <c:spPr>
              <a:solidFill>
                <a:schemeClr val="accent4">
                  <a:lumMod val="60000"/>
                </a:schemeClr>
              </a:solidFill>
              <a:ln w="19050">
                <a:noFill/>
              </a:ln>
              <a:effectLst/>
            </c:spPr>
            <c:extLst>
              <c:ext xmlns:c16="http://schemas.microsoft.com/office/drawing/2014/chart" uri="{C3380CC4-5D6E-409C-BE32-E72D297353CC}">
                <c16:uniqueId val="{00000013-3C10-4BE7-9329-63DE35347110}"/>
              </c:ext>
            </c:extLst>
          </c:dPt>
          <c:dPt>
            <c:idx val="10"/>
            <c:bubble3D val="0"/>
            <c:spPr>
              <a:solidFill>
                <a:schemeClr val="accent5">
                  <a:lumMod val="60000"/>
                </a:schemeClr>
              </a:solidFill>
              <a:ln w="19050">
                <a:noFill/>
              </a:ln>
              <a:effectLst/>
            </c:spPr>
            <c:extLst>
              <c:ext xmlns:c16="http://schemas.microsoft.com/office/drawing/2014/chart" uri="{C3380CC4-5D6E-409C-BE32-E72D297353CC}">
                <c16:uniqueId val="{00000015-3C10-4BE7-9329-63DE353471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PivotTable1!$A$22:$A$33</c:f>
              <c:strCache>
                <c:ptCount val="11"/>
                <c:pt idx="0">
                  <c:v>Action</c:v>
                </c:pt>
                <c:pt idx="1">
                  <c:v>Adventure</c:v>
                </c:pt>
                <c:pt idx="2">
                  <c:v>Boys Love</c:v>
                </c:pt>
                <c:pt idx="3">
                  <c:v>Comedy</c:v>
                </c:pt>
                <c:pt idx="4">
                  <c:v>Drama</c:v>
                </c:pt>
                <c:pt idx="5">
                  <c:v>Fantasy</c:v>
                </c:pt>
                <c:pt idx="6">
                  <c:v>Mystery</c:v>
                </c:pt>
                <c:pt idx="7">
                  <c:v>Romance</c:v>
                </c:pt>
                <c:pt idx="8">
                  <c:v>Sci-Fi</c:v>
                </c:pt>
                <c:pt idx="9">
                  <c:v>Slice of Life</c:v>
                </c:pt>
                <c:pt idx="10">
                  <c:v>Sports</c:v>
                </c:pt>
              </c:strCache>
            </c:strRef>
          </c:cat>
          <c:val>
            <c:numRef>
              <c:f>PivotTable1!$B$22:$B$33</c:f>
              <c:numCache>
                <c:formatCode>General</c:formatCode>
                <c:ptCount val="11"/>
                <c:pt idx="0">
                  <c:v>268</c:v>
                </c:pt>
                <c:pt idx="1">
                  <c:v>53</c:v>
                </c:pt>
                <c:pt idx="2">
                  <c:v>8</c:v>
                </c:pt>
                <c:pt idx="3">
                  <c:v>119</c:v>
                </c:pt>
                <c:pt idx="4">
                  <c:v>51</c:v>
                </c:pt>
                <c:pt idx="5">
                  <c:v>39</c:v>
                </c:pt>
                <c:pt idx="6">
                  <c:v>8</c:v>
                </c:pt>
                <c:pt idx="7">
                  <c:v>22</c:v>
                </c:pt>
                <c:pt idx="8">
                  <c:v>11</c:v>
                </c:pt>
                <c:pt idx="9">
                  <c:v>22</c:v>
                </c:pt>
                <c:pt idx="10">
                  <c:v>5</c:v>
                </c:pt>
              </c:numCache>
            </c:numRef>
          </c:val>
          <c:extLst>
            <c:ext xmlns:c16="http://schemas.microsoft.com/office/drawing/2014/chart" uri="{C3380CC4-5D6E-409C-BE32-E72D297353CC}">
              <c16:uniqueId val="{00000016-3C10-4BE7-9329-63DE35347110}"/>
            </c:ext>
          </c:extLst>
        </c:ser>
        <c:dLbls>
          <c:showLegendKey val="0"/>
          <c:showVal val="0"/>
          <c:showCatName val="0"/>
          <c:showSerName val="0"/>
          <c:showPercent val="1"/>
          <c:showBubbleSize val="0"/>
          <c:showLeaderLines val="1"/>
        </c:dLbls>
        <c:firstSliceAng val="0"/>
        <c:holeSize val="67"/>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A47">
        <a:alpha val="65098"/>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[AnimeDashboard.xlsx]PivotTable1!PivotTable3</c:name>
    <c:fmtId val="33"/>
  </c:pivotSource>
  <c:chart>
    <c:autoTitleDeleted val="1"/>
    <c:pivotFmts>
      <c:pivotFmt>
        <c:idx val="0"/>
        <c:spPr>
          <a:gradFill>
            <a:gsLst>
              <a:gs pos="0">
                <a:srgbClr val="F273B8"/>
              </a:gs>
              <a:gs pos="48000">
                <a:srgbClr val="CD7ED8"/>
              </a:gs>
              <a:gs pos="100000">
                <a:srgbClr val="A88BF9"/>
              </a:gs>
            </a:gsLst>
            <a:lin ang="0" scaled="1"/>
          </a:gra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F273B8"/>
              </a:gs>
              <a:gs pos="48000">
                <a:srgbClr val="CD7ED8"/>
              </a:gs>
              <a:gs pos="100000">
                <a:srgbClr val="A88BF9"/>
              </a:gs>
            </a:gsLst>
            <a:lin ang="0" scaled="1"/>
          </a:gra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F273B8"/>
              </a:gs>
              <a:gs pos="48000">
                <a:srgbClr val="CD7ED8"/>
              </a:gs>
              <a:gs pos="100000">
                <a:srgbClr val="A88BF9"/>
              </a:gs>
            </a:gsLst>
            <a:lin ang="0" scaled="1"/>
          </a:gra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PivotTable1!$B$47</c:f>
              <c:strCache>
                <c:ptCount val="1"/>
                <c:pt idx="0">
                  <c:v>Total</c:v>
                </c:pt>
              </c:strCache>
            </c:strRef>
          </c:tx>
          <c:spPr>
            <a:gradFill>
              <a:gsLst>
                <a:gs pos="0">
                  <a:srgbClr val="F273B8"/>
                </a:gs>
                <a:gs pos="48000">
                  <a:srgbClr val="CD7ED8"/>
                </a:gs>
                <a:gs pos="100000">
                  <a:srgbClr val="A88BF9"/>
                </a:gs>
              </a:gsLst>
              <a:lin ang="0" scaled="1"/>
            </a:gra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PivotTable1!$A$48:$A$58</c:f>
              <c:strCache>
                <c:ptCount val="10"/>
                <c:pt idx="0">
                  <c:v>Shingeki no Kyojin: The Final Season</c:v>
                </c:pt>
                <c:pt idx="1">
                  <c:v>Vinland Saga Season 2</c:v>
                </c:pt>
                <c:pt idx="2">
                  <c:v>Kusuriya no Hitorigoto</c:v>
                </c:pt>
                <c:pt idx="3">
                  <c:v>Kusuriya no Hitorigoto 2nd Season</c:v>
                </c:pt>
                <c:pt idx="4">
                  <c:v>Fruits Basket: The Final</c:v>
                </c:pt>
                <c:pt idx="5">
                  <c:v>Sousou no Frieren 2nd Season</c:v>
                </c:pt>
                <c:pt idx="6">
                  <c:v>Bleach: Sennen Kessen-hen</c:v>
                </c:pt>
                <c:pt idx="7">
                  <c:v>Chainsaw Man Movie: Reze-hen</c:v>
                </c:pt>
                <c:pt idx="8">
                  <c:v>Steel Ball Run: JoJo no Kimyou na Bouken</c:v>
                </c:pt>
                <c:pt idx="9">
                  <c:v>Sousou no Frieren</c:v>
                </c:pt>
              </c:strCache>
            </c:strRef>
          </c:cat>
          <c:val>
            <c:numRef>
              <c:f>PivotTable1!$B$48:$B$58</c:f>
              <c:numCache>
                <c:formatCode>General</c:formatCode>
                <c:ptCount val="10"/>
                <c:pt idx="0">
                  <c:v>8.7899999999999991</c:v>
                </c:pt>
                <c:pt idx="1">
                  <c:v>8.82</c:v>
                </c:pt>
                <c:pt idx="2">
                  <c:v>8.85</c:v>
                </c:pt>
                <c:pt idx="3">
                  <c:v>8.91</c:v>
                </c:pt>
                <c:pt idx="4">
                  <c:v>8.94</c:v>
                </c:pt>
                <c:pt idx="5">
                  <c:v>8.9600000000000009</c:v>
                </c:pt>
                <c:pt idx="6">
                  <c:v>8.98</c:v>
                </c:pt>
                <c:pt idx="7">
                  <c:v>9.09</c:v>
                </c:pt>
                <c:pt idx="8">
                  <c:v>9.18</c:v>
                </c:pt>
                <c:pt idx="9">
                  <c:v>9.27</c:v>
                </c:pt>
              </c:numCache>
            </c:numRef>
          </c:val>
          <c:extLst>
            <c:ext xmlns:c16="http://schemas.microsoft.com/office/drawing/2014/chart" uri="{C3380CC4-5D6E-409C-BE32-E72D297353CC}">
              <c16:uniqueId val="{00000000-5A29-417A-B095-EBB553FD45A1}"/>
            </c:ext>
          </c:extLst>
        </c:ser>
        <c:dLbls>
          <c:dLblPos val="inEnd"/>
          <c:showLegendKey val="0"/>
          <c:showVal val="1"/>
          <c:showCatName val="0"/>
          <c:showSerName val="0"/>
          <c:showPercent val="0"/>
          <c:showBubbleSize val="0"/>
        </c:dLbls>
        <c:gapWidth val="65"/>
        <c:axId val="511940351"/>
        <c:axId val="511947551"/>
      </c:barChart>
      <c:catAx>
        <c:axId val="51194035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511947551"/>
        <c:crosses val="autoZero"/>
        <c:auto val="1"/>
        <c:lblAlgn val="ctr"/>
        <c:lblOffset val="100"/>
        <c:noMultiLvlLbl val="0"/>
      </c:catAx>
      <c:valAx>
        <c:axId val="511947551"/>
        <c:scaling>
          <c:orientation val="minMax"/>
          <c:max val="10"/>
          <c:min val="5"/>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1194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A47">
        <a:alpha val="65098"/>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[AnimeDashboard.xlsx]PivotTable1!PivotTable18</c:name>
    <c:fmtId val="7"/>
  </c:pivotSource>
  <c:chart>
    <c:autoTitleDeleted val="0"/>
    <c:pivotFmts>
      <c:pivotFmt>
        <c:idx val="0"/>
        <c:spPr>
          <a:gradFill rotWithShape="1">
            <a:gsLst>
              <a:gs pos="0">
                <a:schemeClr val="accent1">
                  <a:lumMod val="5000"/>
                  <a:lumOff val="95000"/>
                </a:schemeClr>
              </a:gs>
              <a:gs pos="44000">
                <a:srgbClr val="A88BF9"/>
              </a:gs>
              <a:gs pos="100000">
                <a:srgbClr val="1E1A47"/>
              </a:gs>
            </a:gsLst>
            <a:lin ang="5400000" scaled="1"/>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gradFill>
              <a:gsLst>
                <a:gs pos="0">
                  <a:schemeClr val="tx1"/>
                </a:gs>
                <a:gs pos="36000">
                  <a:srgbClr val="002060"/>
                </a:gs>
                <a:gs pos="100000">
                  <a:srgbClr val="7030A0"/>
                </a:gs>
              </a:gsLst>
              <a:lin ang="5400000" scaled="1"/>
            </a:gra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5000"/>
                  <a:lumOff val="95000"/>
                </a:schemeClr>
              </a:gs>
              <a:gs pos="44000">
                <a:srgbClr val="A88BF9"/>
              </a:gs>
              <a:gs pos="100000">
                <a:srgbClr val="1E1A47"/>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gradFill>
              <a:gsLst>
                <a:gs pos="0">
                  <a:schemeClr val="tx1"/>
                </a:gs>
                <a:gs pos="36000">
                  <a:srgbClr val="002060"/>
                </a:gs>
                <a:gs pos="100000">
                  <a:srgbClr val="7030A0"/>
                </a:gs>
              </a:gsLst>
              <a:lin ang="5400000" scaled="1"/>
            </a:gra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5000"/>
                  <a:lumOff val="95000"/>
                </a:schemeClr>
              </a:gs>
              <a:gs pos="44000">
                <a:srgbClr val="A88BF9"/>
              </a:gs>
              <a:gs pos="100000">
                <a:srgbClr val="1E1A47"/>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gradFill>
              <a:gsLst>
                <a:gs pos="0">
                  <a:schemeClr val="tx2">
                    <a:lumMod val="10000"/>
                    <a:lumOff val="90000"/>
                  </a:schemeClr>
                </a:gs>
                <a:gs pos="36000">
                  <a:schemeClr val="tx2">
                    <a:lumMod val="25000"/>
                    <a:lumOff val="75000"/>
                  </a:schemeClr>
                </a:gs>
                <a:gs pos="100000">
                  <a:schemeClr val="tx2">
                    <a:lumMod val="50000"/>
                    <a:lumOff val="50000"/>
                  </a:schemeClr>
                </a:gs>
              </a:gsLst>
              <a:lin ang="5400000" scaled="1"/>
            </a:gra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PivotTable1!$C$87</c:f>
              <c:strCache>
                <c:ptCount val="1"/>
                <c:pt idx="0">
                  <c:v>Average of Rating/Score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PivotTable1!$A$88:$A$92</c:f>
              <c:strCache>
                <c:ptCount val="4"/>
                <c:pt idx="0">
                  <c:v>Winter</c:v>
                </c:pt>
                <c:pt idx="1">
                  <c:v>Summer</c:v>
                </c:pt>
                <c:pt idx="2">
                  <c:v>Spring</c:v>
                </c:pt>
                <c:pt idx="3">
                  <c:v>Fall</c:v>
                </c:pt>
              </c:strCache>
            </c:strRef>
          </c:cat>
          <c:val>
            <c:numRef>
              <c:f>PivotTable1!$C$88:$C$92</c:f>
              <c:numCache>
                <c:formatCode>0.00</c:formatCode>
                <c:ptCount val="4"/>
                <c:pt idx="0">
                  <c:v>7.1401805054151568</c:v>
                </c:pt>
                <c:pt idx="1">
                  <c:v>7.1755072463768137</c:v>
                </c:pt>
                <c:pt idx="2">
                  <c:v>7.0796825396825396</c:v>
                </c:pt>
                <c:pt idx="3">
                  <c:v>7.093536585365853</c:v>
                </c:pt>
              </c:numCache>
            </c:numRef>
          </c:val>
          <c:extLst>
            <c:ext xmlns:c16="http://schemas.microsoft.com/office/drawing/2014/chart" uri="{C3380CC4-5D6E-409C-BE32-E72D297353CC}">
              <c16:uniqueId val="{00000000-B0BD-4A35-A726-D6198D2C6824}"/>
            </c:ext>
          </c:extLst>
        </c:ser>
        <c:dLbls>
          <c:showLegendKey val="0"/>
          <c:showVal val="0"/>
          <c:showCatName val="0"/>
          <c:showSerName val="0"/>
          <c:showPercent val="0"/>
          <c:showBubbleSize val="0"/>
        </c:dLbls>
        <c:gapWidth val="219"/>
        <c:overlap val="-27"/>
        <c:axId val="1447423375"/>
        <c:axId val="1447424335"/>
      </c:barChart>
      <c:barChart>
        <c:barDir val="col"/>
        <c:grouping val="clustered"/>
        <c:varyColors val="0"/>
        <c:ser>
          <c:idx val="0"/>
          <c:order val="0"/>
          <c:tx>
            <c:strRef>
              <c:f>PivotTable1!$B$87</c:f>
              <c:strCache>
                <c:ptCount val="1"/>
                <c:pt idx="0">
                  <c:v>Count of Anime Title</c:v>
                </c:pt>
              </c:strCache>
            </c:strRef>
          </c:tx>
          <c:spPr>
            <a:gradFill rotWithShape="1">
              <a:gsLst>
                <a:gs pos="0">
                  <a:schemeClr val="accent1">
                    <a:lumMod val="5000"/>
                    <a:lumOff val="95000"/>
                  </a:schemeClr>
                </a:gs>
                <a:gs pos="44000">
                  <a:srgbClr val="A88BF9"/>
                </a:gs>
                <a:gs pos="100000">
                  <a:srgbClr val="1E1A47"/>
                </a:gs>
              </a:gsLst>
              <a:lin ang="5400000" scaled="1"/>
            </a:gradFill>
            <a:ln>
              <a:noFill/>
            </a:ln>
            <a:effectLst/>
          </c:spPr>
          <c:invertIfNegative val="0"/>
          <c:cat>
            <c:strRef>
              <c:f>PivotTable1!$A$88:$A$92</c:f>
              <c:strCache>
                <c:ptCount val="4"/>
                <c:pt idx="0">
                  <c:v>Winter</c:v>
                </c:pt>
                <c:pt idx="1">
                  <c:v>Summer</c:v>
                </c:pt>
                <c:pt idx="2">
                  <c:v>Spring</c:v>
                </c:pt>
                <c:pt idx="3">
                  <c:v>Fall</c:v>
                </c:pt>
              </c:strCache>
            </c:strRef>
          </c:cat>
          <c:val>
            <c:numRef>
              <c:f>PivotTable1!$B$88:$B$92</c:f>
              <c:numCache>
                <c:formatCode>General</c:formatCode>
                <c:ptCount val="4"/>
                <c:pt idx="0">
                  <c:v>277</c:v>
                </c:pt>
                <c:pt idx="1">
                  <c:v>138</c:v>
                </c:pt>
                <c:pt idx="2">
                  <c:v>126</c:v>
                </c:pt>
                <c:pt idx="3">
                  <c:v>82</c:v>
                </c:pt>
              </c:numCache>
            </c:numRef>
          </c:val>
          <c:extLst>
            <c:ext xmlns:c16="http://schemas.microsoft.com/office/drawing/2014/chart" uri="{C3380CC4-5D6E-409C-BE32-E72D297353CC}">
              <c16:uniqueId val="{00000001-B0BD-4A35-A726-D6198D2C6824}"/>
            </c:ext>
          </c:extLst>
        </c:ser>
        <c:dLbls>
          <c:showLegendKey val="0"/>
          <c:showVal val="0"/>
          <c:showCatName val="0"/>
          <c:showSerName val="0"/>
          <c:showPercent val="0"/>
          <c:showBubbleSize val="0"/>
        </c:dLbls>
        <c:gapWidth val="219"/>
        <c:overlap val="-27"/>
        <c:axId val="437979887"/>
        <c:axId val="437976527"/>
      </c:barChart>
      <c:lineChart>
        <c:grouping val="standard"/>
        <c:varyColors val="0"/>
        <c:ser>
          <c:idx val="2"/>
          <c:order val="2"/>
          <c:tx>
            <c:strRef>
              <c:f>PivotTable1!$D$87</c:f>
              <c:strCache>
                <c:ptCount val="1"/>
                <c:pt idx="0">
                  <c:v>Sum of Popularity/Members</c:v>
                </c:pt>
              </c:strCache>
            </c:strRef>
          </c:tx>
          <c:spPr>
            <a:ln w="31750" cap="rnd">
              <a:gradFill>
                <a:gsLst>
                  <a:gs pos="0">
                    <a:schemeClr val="tx2">
                      <a:lumMod val="10000"/>
                      <a:lumOff val="90000"/>
                    </a:schemeClr>
                  </a:gs>
                  <a:gs pos="36000">
                    <a:schemeClr val="tx2">
                      <a:lumMod val="25000"/>
                      <a:lumOff val="75000"/>
                    </a:schemeClr>
                  </a:gs>
                  <a:gs pos="100000">
                    <a:schemeClr val="tx2">
                      <a:lumMod val="50000"/>
                      <a:lumOff val="50000"/>
                    </a:schemeClr>
                  </a:gs>
                </a:gsLst>
                <a:lin ang="5400000" scaled="1"/>
              </a:gra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cat>
            <c:strRef>
              <c:f>PivotTable1!$A$88:$A$92</c:f>
              <c:strCache>
                <c:ptCount val="4"/>
                <c:pt idx="0">
                  <c:v>Winter</c:v>
                </c:pt>
                <c:pt idx="1">
                  <c:v>Summer</c:v>
                </c:pt>
                <c:pt idx="2">
                  <c:v>Spring</c:v>
                </c:pt>
                <c:pt idx="3">
                  <c:v>Fall</c:v>
                </c:pt>
              </c:strCache>
            </c:strRef>
          </c:cat>
          <c:val>
            <c:numRef>
              <c:f>PivotTable1!$D$88:$D$92</c:f>
              <c:numCache>
                <c:formatCode>General</c:formatCode>
                <c:ptCount val="4"/>
                <c:pt idx="0">
                  <c:v>60050996</c:v>
                </c:pt>
                <c:pt idx="1">
                  <c:v>27444535</c:v>
                </c:pt>
                <c:pt idx="2">
                  <c:v>27086938</c:v>
                </c:pt>
                <c:pt idx="3">
                  <c:v>16301464</c:v>
                </c:pt>
              </c:numCache>
            </c:numRef>
          </c:val>
          <c:smooth val="0"/>
          <c:extLst>
            <c:ext xmlns:c16="http://schemas.microsoft.com/office/drawing/2014/chart" uri="{C3380CC4-5D6E-409C-BE32-E72D297353CC}">
              <c16:uniqueId val="{00000002-B0BD-4A35-A726-D6198D2C6824}"/>
            </c:ext>
          </c:extLst>
        </c:ser>
        <c:dLbls>
          <c:showLegendKey val="0"/>
          <c:showVal val="0"/>
          <c:showCatName val="0"/>
          <c:showSerName val="0"/>
          <c:showPercent val="0"/>
          <c:showBubbleSize val="0"/>
        </c:dLbls>
        <c:marker val="1"/>
        <c:smooth val="0"/>
        <c:axId val="1447423375"/>
        <c:axId val="1447424335"/>
      </c:lineChart>
      <c:catAx>
        <c:axId val="144742337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7424335"/>
        <c:crosses val="autoZero"/>
        <c:auto val="1"/>
        <c:lblAlgn val="ctr"/>
        <c:lblOffset val="100"/>
        <c:noMultiLvlLbl val="0"/>
      </c:catAx>
      <c:valAx>
        <c:axId val="1447424335"/>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7423375"/>
        <c:crosses val="autoZero"/>
        <c:crossBetween val="between"/>
      </c:valAx>
      <c:valAx>
        <c:axId val="437976527"/>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37979887"/>
        <c:crosses val="max"/>
        <c:crossBetween val="between"/>
      </c:valAx>
      <c:catAx>
        <c:axId val="437979887"/>
        <c:scaling>
          <c:orientation val="minMax"/>
        </c:scaling>
        <c:delete val="1"/>
        <c:axPos val="b"/>
        <c:numFmt formatCode="General" sourceLinked="1"/>
        <c:majorTickMark val="none"/>
        <c:minorTickMark val="none"/>
        <c:tickLblPos val="nextTo"/>
        <c:crossAx val="43797652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A47">
        <a:alpha val="65098"/>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[AnimeDashboard.xlsx]new!PivotTable2</c:name>
    <c:fmtId val="4"/>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c:spPr>
        <c:marker>
          <c:symbol val="none"/>
        </c:marker>
        <c:dLbl>
          <c:idx val="0"/>
          <c:delete val="1"/>
          <c:extLst>
            <c:ext xmlns:c15="http://schemas.microsoft.com/office/drawing/2012/chart" uri="{CE6537A1-D6FC-4f65-9D91-7224C49458BB}"/>
          </c:extLst>
        </c:dLbl>
      </c:pivotFmt>
      <c:pivotFmt>
        <c:idx val="4"/>
      </c:pivotFmt>
    </c:pivotFmts>
    <c:plotArea>
      <c:layout/>
      <c:barChart>
        <c:barDir val="col"/>
        <c:grouping val="stacked"/>
        <c:varyColors val="0"/>
        <c:ser>
          <c:idx val="1"/>
          <c:order val="0"/>
          <c:tx>
            <c:strRef>
              <c:f>new!$B$20</c:f>
              <c:strCache>
                <c:ptCount val="1"/>
                <c:pt idx="0">
                  <c:v>Total</c:v>
                </c:pt>
              </c:strCache>
            </c:strRef>
          </c:tx>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c:spPr>
          <c:invertIfNegative val="0"/>
          <c:cat>
            <c:strRef>
              <c:f>new!$A$21:$A$25</c:f>
              <c:strCache>
                <c:ptCount val="4"/>
                <c:pt idx="0">
                  <c:v>Global</c:v>
                </c:pt>
                <c:pt idx="1">
                  <c:v>India</c:v>
                </c:pt>
                <c:pt idx="2">
                  <c:v>Japan</c:v>
                </c:pt>
                <c:pt idx="3">
                  <c:v>US</c:v>
                </c:pt>
              </c:strCache>
            </c:strRef>
          </c:cat>
          <c:val>
            <c:numRef>
              <c:f>new!$B$21:$B$25</c:f>
              <c:numCache>
                <c:formatCode>0.00</c:formatCode>
                <c:ptCount val="4"/>
                <c:pt idx="0">
                  <c:v>13.752447552447551</c:v>
                </c:pt>
                <c:pt idx="1">
                  <c:v>9.0246753246753251</c:v>
                </c:pt>
                <c:pt idx="2">
                  <c:v>9.0547619047619037</c:v>
                </c:pt>
                <c:pt idx="3">
                  <c:v>10.966423357664235</c:v>
                </c:pt>
              </c:numCache>
            </c:numRef>
          </c:val>
          <c:extLst>
            <c:ext xmlns:c16="http://schemas.microsoft.com/office/drawing/2014/chart" uri="{C3380CC4-5D6E-409C-BE32-E72D297353CC}">
              <c16:uniqueId val="{00000003-8DDA-4935-9234-66AD376742AF}"/>
            </c:ext>
          </c:extLst>
        </c:ser>
        <c:dLbls>
          <c:showLegendKey val="0"/>
          <c:showVal val="0"/>
          <c:showCatName val="0"/>
          <c:showSerName val="0"/>
          <c:showPercent val="0"/>
          <c:showBubbleSize val="0"/>
        </c:dLbls>
        <c:gapWidth val="150"/>
        <c:overlap val="100"/>
        <c:axId val="1206063136"/>
        <c:axId val="1206063616"/>
      </c:barChart>
      <c:catAx>
        <c:axId val="120606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06063616"/>
        <c:crosses val="autoZero"/>
        <c:auto val="1"/>
        <c:lblAlgn val="ctr"/>
        <c:lblOffset val="100"/>
        <c:noMultiLvlLbl val="0"/>
      </c:catAx>
      <c:valAx>
        <c:axId val="12060636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06063136"/>
        <c:crosses val="autoZero"/>
        <c:crossBetween val="between"/>
      </c:valAx>
      <c:spPr>
        <a:solidFill>
          <a:srgbClr val="1E1A47">
            <a:alpha val="65098"/>
          </a:srgbClr>
        </a:solidFill>
        <a:ln>
          <a:noFill/>
        </a:ln>
      </c:spPr>
    </c:plotArea>
    <c:plotVisOnly val="1"/>
    <c:dispBlanksAs val="gap"/>
    <c:showDLblsOverMax val="0"/>
    <c:extLst/>
  </c:chart>
  <c:spPr>
    <a:solidFill>
      <a:srgbClr val="1E1A47">
        <a:alpha val="65000"/>
      </a:srgbClr>
    </a:solid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[AnimeDashboard.xlsx]new!PivotTable4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871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new!$B$53</c:f>
              <c:strCache>
                <c:ptCount val="1"/>
                <c:pt idx="0">
                  <c:v>Total</c:v>
                </c:pt>
              </c:strCache>
            </c:strRef>
          </c:tx>
          <c:spPr>
            <a:solidFill>
              <a:srgbClr val="F87171"/>
            </a:solidFill>
            <a:ln>
              <a:noFill/>
            </a:ln>
            <a:effectLst/>
          </c:spPr>
          <c:invertIfNegative val="0"/>
          <c:cat>
            <c:strRef>
              <c:f>new!$A$54:$A$65</c:f>
              <c:strCache>
                <c:ptCount val="11"/>
                <c:pt idx="0">
                  <c:v>Apothecary Diaries S3</c:v>
                </c:pt>
                <c:pt idx="1">
                  <c:v>Vinland Saga S3 (Prime)</c:v>
                </c:pt>
                <c:pt idx="2">
                  <c:v>Jujutsu Kaisen S3</c:v>
                </c:pt>
                <c:pt idx="3">
                  <c:v>Haikyu!! Movie</c:v>
                </c:pt>
                <c:pt idx="4">
                  <c:v>Bleach Epilogue Arc</c:v>
                </c:pt>
                <c:pt idx="5">
                  <c:v>Bleach TYBW Final</c:v>
                </c:pt>
                <c:pt idx="6">
                  <c:v>Vinland Saga S3</c:v>
                </c:pt>
                <c:pt idx="7">
                  <c:v>Vinland Saga S4</c:v>
                </c:pt>
                <c:pt idx="8">
                  <c:v>Frieren: Beyond Journey</c:v>
                </c:pt>
                <c:pt idx="9">
                  <c:v>Attack on Titan Final</c:v>
                </c:pt>
                <c:pt idx="10">
                  <c:v>Jujutsu Kaisen Final</c:v>
                </c:pt>
              </c:strCache>
            </c:strRef>
          </c:cat>
          <c:val>
            <c:numRef>
              <c:f>new!$B$54:$B$65</c:f>
              <c:numCache>
                <c:formatCode>0.00</c:formatCode>
                <c:ptCount val="11"/>
                <c:pt idx="0">
                  <c:v>9.0333333333333332</c:v>
                </c:pt>
                <c:pt idx="1">
                  <c:v>9.0333333333333332</c:v>
                </c:pt>
                <c:pt idx="2">
                  <c:v>9.0500000000000007</c:v>
                </c:pt>
                <c:pt idx="3">
                  <c:v>9.0749999999999993</c:v>
                </c:pt>
                <c:pt idx="4">
                  <c:v>9.0749999999999993</c:v>
                </c:pt>
                <c:pt idx="5">
                  <c:v>9.0749999999999993</c:v>
                </c:pt>
                <c:pt idx="6">
                  <c:v>9.1</c:v>
                </c:pt>
                <c:pt idx="7">
                  <c:v>9.2333333333333343</c:v>
                </c:pt>
                <c:pt idx="8">
                  <c:v>9.2750000000000004</c:v>
                </c:pt>
                <c:pt idx="9">
                  <c:v>9.35</c:v>
                </c:pt>
                <c:pt idx="10">
                  <c:v>9.35</c:v>
                </c:pt>
              </c:numCache>
            </c:numRef>
          </c:val>
          <c:extLst>
            <c:ext xmlns:c16="http://schemas.microsoft.com/office/drawing/2014/chart" uri="{C3380CC4-5D6E-409C-BE32-E72D297353CC}">
              <c16:uniqueId val="{00000000-3053-4934-BE15-42955D6B98F4}"/>
            </c:ext>
          </c:extLst>
        </c:ser>
        <c:dLbls>
          <c:showLegendKey val="0"/>
          <c:showVal val="0"/>
          <c:showCatName val="0"/>
          <c:showSerName val="0"/>
          <c:showPercent val="0"/>
          <c:showBubbleSize val="0"/>
        </c:dLbls>
        <c:gapWidth val="182"/>
        <c:axId val="1206214336"/>
        <c:axId val="1206213376"/>
      </c:barChart>
      <c:catAx>
        <c:axId val="1206214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06213376"/>
        <c:crosses val="autoZero"/>
        <c:auto val="1"/>
        <c:lblAlgn val="ctr"/>
        <c:lblOffset val="100"/>
        <c:noMultiLvlLbl val="0"/>
      </c:catAx>
      <c:valAx>
        <c:axId val="120621337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0621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A47">
        <a:alpha val="65000"/>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[AnimeDashboard.xlsx]new!PivotTable1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F9B9DB"/>
              </a:gs>
              <a:gs pos="55000">
                <a:srgbClr val="EF439D"/>
              </a:gs>
              <a:gs pos="100000">
                <a:srgbClr val="ED278F"/>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4000">
                <a:srgbClr val="B7ECFF"/>
              </a:gs>
              <a:gs pos="56000">
                <a:srgbClr val="69D8FF"/>
              </a:gs>
              <a:gs pos="100000">
                <a:srgbClr val="25C6FF"/>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new!$B$1</c:f>
              <c:strCache>
                <c:ptCount val="1"/>
                <c:pt idx="0">
                  <c:v>Average of Viewer Rating (/ 10)</c:v>
                </c:pt>
              </c:strCache>
            </c:strRef>
          </c:tx>
          <c:spPr>
            <a:gradFill>
              <a:gsLst>
                <a:gs pos="0">
                  <a:srgbClr val="F9B9DB"/>
                </a:gs>
                <a:gs pos="55000">
                  <a:srgbClr val="EF439D"/>
                </a:gs>
                <a:gs pos="100000">
                  <a:srgbClr val="ED278F"/>
                </a:gs>
              </a:gsLst>
              <a:lin ang="5400000" scaled="1"/>
            </a:gradFill>
            <a:ln>
              <a:noFill/>
            </a:ln>
            <a:effectLst/>
          </c:spPr>
          <c:invertIfNegative val="0"/>
          <c:cat>
            <c:strRef>
              <c:f>new!$A$2:$A$6</c:f>
              <c:strCache>
                <c:ptCount val="4"/>
                <c:pt idx="0">
                  <c:v>Amazon Prime</c:v>
                </c:pt>
                <c:pt idx="1">
                  <c:v>Crunchyroll</c:v>
                </c:pt>
                <c:pt idx="2">
                  <c:v>Hulu</c:v>
                </c:pt>
                <c:pt idx="3">
                  <c:v>Netflix</c:v>
                </c:pt>
              </c:strCache>
            </c:strRef>
          </c:cat>
          <c:val>
            <c:numRef>
              <c:f>new!$B$2:$B$6</c:f>
              <c:numCache>
                <c:formatCode>0.00</c:formatCode>
                <c:ptCount val="4"/>
                <c:pt idx="0">
                  <c:v>8.0146666666666651</c:v>
                </c:pt>
                <c:pt idx="1">
                  <c:v>8.4571428571428537</c:v>
                </c:pt>
                <c:pt idx="2">
                  <c:v>8.1612244897959236</c:v>
                </c:pt>
                <c:pt idx="3">
                  <c:v>7.871962616822433</c:v>
                </c:pt>
              </c:numCache>
            </c:numRef>
          </c:val>
          <c:extLst>
            <c:ext xmlns:c16="http://schemas.microsoft.com/office/drawing/2014/chart" uri="{C3380CC4-5D6E-409C-BE32-E72D297353CC}">
              <c16:uniqueId val="{00000000-AF96-44BE-8AAD-68EBAAE6F55B}"/>
            </c:ext>
          </c:extLst>
        </c:ser>
        <c:ser>
          <c:idx val="1"/>
          <c:order val="1"/>
          <c:tx>
            <c:strRef>
              <c:f>new!$C$1</c:f>
              <c:strCache>
                <c:ptCount val="1"/>
                <c:pt idx="0">
                  <c:v>Average of Monthly Viewership (M)</c:v>
                </c:pt>
              </c:strCache>
            </c:strRef>
          </c:tx>
          <c:spPr>
            <a:gradFill>
              <a:gsLst>
                <a:gs pos="4000">
                  <a:srgbClr val="B7ECFF"/>
                </a:gs>
                <a:gs pos="56000">
                  <a:srgbClr val="69D8FF"/>
                </a:gs>
                <a:gs pos="100000">
                  <a:srgbClr val="25C6FF"/>
                </a:gs>
              </a:gsLst>
              <a:lin ang="5400000" scaled="1"/>
            </a:gradFill>
            <a:ln>
              <a:noFill/>
            </a:ln>
            <a:effectLst/>
          </c:spPr>
          <c:invertIfNegative val="0"/>
          <c:cat>
            <c:strRef>
              <c:f>new!$A$2:$A$6</c:f>
              <c:strCache>
                <c:ptCount val="4"/>
                <c:pt idx="0">
                  <c:v>Amazon Prime</c:v>
                </c:pt>
                <c:pt idx="1">
                  <c:v>Crunchyroll</c:v>
                </c:pt>
                <c:pt idx="2">
                  <c:v>Hulu</c:v>
                </c:pt>
                <c:pt idx="3">
                  <c:v>Netflix</c:v>
                </c:pt>
              </c:strCache>
            </c:strRef>
          </c:cat>
          <c:val>
            <c:numRef>
              <c:f>new!$C$2:$C$6</c:f>
              <c:numCache>
                <c:formatCode>0.00</c:formatCode>
                <c:ptCount val="4"/>
                <c:pt idx="0">
                  <c:v>7.6653333333333311</c:v>
                </c:pt>
                <c:pt idx="1">
                  <c:v>13.240993788819877</c:v>
                </c:pt>
                <c:pt idx="2">
                  <c:v>12.313265306122444</c:v>
                </c:pt>
                <c:pt idx="3">
                  <c:v>9.4495327102803746</c:v>
                </c:pt>
              </c:numCache>
            </c:numRef>
          </c:val>
          <c:extLst>
            <c:ext xmlns:c16="http://schemas.microsoft.com/office/drawing/2014/chart" uri="{C3380CC4-5D6E-409C-BE32-E72D297353CC}">
              <c16:uniqueId val="{00000001-AF96-44BE-8AAD-68EBAAE6F55B}"/>
            </c:ext>
          </c:extLst>
        </c:ser>
        <c:dLbls>
          <c:showLegendKey val="0"/>
          <c:showVal val="0"/>
          <c:showCatName val="0"/>
          <c:showSerName val="0"/>
          <c:showPercent val="0"/>
          <c:showBubbleSize val="0"/>
        </c:dLbls>
        <c:gapWidth val="219"/>
        <c:overlap val="-27"/>
        <c:axId val="1206188416"/>
        <c:axId val="1206205696"/>
      </c:barChart>
      <c:catAx>
        <c:axId val="120618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06205696"/>
        <c:crosses val="autoZero"/>
        <c:auto val="1"/>
        <c:lblAlgn val="ctr"/>
        <c:lblOffset val="100"/>
        <c:noMultiLvlLbl val="0"/>
      </c:catAx>
      <c:valAx>
        <c:axId val="120620569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06188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A47">
        <a:alpha val="65000"/>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[AnimeDashboard.xlsx]new!PivotTable3</c:name>
    <c:fmtId val="5"/>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1587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1587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marker>
          <c:symbol val="circle"/>
          <c:size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587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new!$B$36</c:f>
              <c:strCache>
                <c:ptCount val="1"/>
                <c:pt idx="0">
                  <c:v>Total</c:v>
                </c:pt>
              </c:strCache>
            </c:strRef>
          </c:tx>
          <c:spPr>
            <a:ln w="28575" cap="rnd">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marker>
            <c:symbol val="circle"/>
            <c:size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5875">
                <a:solidFill>
                  <a:schemeClr val="accent1"/>
                </a:solidFill>
              </a:ln>
              <a:effectLst/>
            </c:spPr>
          </c:marker>
          <c:cat>
            <c:strRef>
              <c:f>new!$A$37:$A$43</c:f>
              <c:strCache>
                <c:ptCount val="6"/>
                <c:pt idx="0">
                  <c:v>2021</c:v>
                </c:pt>
                <c:pt idx="1">
                  <c:v>2022</c:v>
                </c:pt>
                <c:pt idx="2">
                  <c:v>2023</c:v>
                </c:pt>
                <c:pt idx="3">
                  <c:v>2024</c:v>
                </c:pt>
                <c:pt idx="4">
                  <c:v>2025</c:v>
                </c:pt>
                <c:pt idx="5">
                  <c:v>2026</c:v>
                </c:pt>
              </c:strCache>
            </c:strRef>
          </c:cat>
          <c:val>
            <c:numRef>
              <c:f>new!$B$37:$B$43</c:f>
              <c:numCache>
                <c:formatCode>0.00</c:formatCode>
                <c:ptCount val="6"/>
                <c:pt idx="0">
                  <c:v>7.7677419354838735</c:v>
                </c:pt>
                <c:pt idx="1">
                  <c:v>7.9686046511627957</c:v>
                </c:pt>
                <c:pt idx="2">
                  <c:v>8.2784810126582258</c:v>
                </c:pt>
                <c:pt idx="3">
                  <c:v>8.2025000000000023</c:v>
                </c:pt>
                <c:pt idx="4">
                  <c:v>8.4937500000000039</c:v>
                </c:pt>
                <c:pt idx="5">
                  <c:v>8.8025641025641033</c:v>
                </c:pt>
              </c:numCache>
            </c:numRef>
          </c:val>
          <c:smooth val="1"/>
          <c:extLst>
            <c:ext xmlns:c16="http://schemas.microsoft.com/office/drawing/2014/chart" uri="{C3380CC4-5D6E-409C-BE32-E72D297353CC}">
              <c16:uniqueId val="{00000000-ECBC-4A5D-B10F-B52D7CD500C0}"/>
            </c:ext>
          </c:extLst>
        </c:ser>
        <c:dLbls>
          <c:showLegendKey val="0"/>
          <c:showVal val="0"/>
          <c:showCatName val="0"/>
          <c:showSerName val="0"/>
          <c:showPercent val="0"/>
          <c:showBubbleSize val="0"/>
        </c:dLbls>
        <c:marker val="1"/>
        <c:smooth val="0"/>
        <c:axId val="1206180256"/>
        <c:axId val="1206178336"/>
      </c:lineChart>
      <c:catAx>
        <c:axId val="120618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06178336"/>
        <c:crosses val="autoZero"/>
        <c:auto val="1"/>
        <c:lblAlgn val="ctr"/>
        <c:lblOffset val="100"/>
        <c:noMultiLvlLbl val="0"/>
      </c:catAx>
      <c:valAx>
        <c:axId val="1206178336"/>
        <c:scaling>
          <c:orientation val="minMax"/>
        </c:scaling>
        <c:delete val="0"/>
        <c:axPos val="l"/>
        <c:numFmt formatCode="0.00" sourceLinked="1"/>
        <c:majorTickMark val="none"/>
        <c:minorTickMark val="none"/>
        <c:tickLblPos val="nextTo"/>
        <c:spPr>
          <a:solidFill>
            <a:srgbClr val="1E1A47"/>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0618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A47">
        <a:alpha val="65000"/>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4.xml"/><Relationship Id="rId4"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hyperlink" Target="#'PlatformWiseDashboard (2)'!A1"/><Relationship Id="rId3" Type="http://schemas.openxmlformats.org/officeDocument/2006/relationships/image" Target="../media/image3.png"/><Relationship Id="rId7" Type="http://schemas.openxmlformats.org/officeDocument/2006/relationships/chart" Target="../charts/chart15.xml"/><Relationship Id="rId12" Type="http://schemas.openxmlformats.org/officeDocument/2006/relationships/chart" Target="../charts/chart18.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7.xml"/><Relationship Id="rId5" Type="http://schemas.openxmlformats.org/officeDocument/2006/relationships/image" Target="../media/image5.png"/><Relationship Id="rId15" Type="http://schemas.openxmlformats.org/officeDocument/2006/relationships/image" Target="../media/image10.png"/><Relationship Id="rId10" Type="http://schemas.openxmlformats.org/officeDocument/2006/relationships/image" Target="../media/image8.png"/><Relationship Id="rId4" Type="http://schemas.openxmlformats.org/officeDocument/2006/relationships/image" Target="../media/image4.png"/><Relationship Id="rId9" Type="http://schemas.openxmlformats.org/officeDocument/2006/relationships/chart" Target="../charts/chart16.xml"/><Relationship Id="rId14" Type="http://schemas.openxmlformats.org/officeDocument/2006/relationships/image" Target="../media/image9.png"/></Relationships>
</file>

<file path=xl/drawings/_rels/drawing6.xml.rels><?xml version="1.0" encoding="UTF-8" standalone="yes"?>
<Relationships xmlns="http://schemas.openxmlformats.org/package/2006/relationships"><Relationship Id="rId8" Type="http://schemas.openxmlformats.org/officeDocument/2006/relationships/chart" Target="../charts/chart19.xml"/><Relationship Id="rId13" Type="http://schemas.openxmlformats.org/officeDocument/2006/relationships/chart" Target="../charts/chart2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0.xml"/><Relationship Id="rId5" Type="http://schemas.openxmlformats.org/officeDocument/2006/relationships/image" Target="../media/image5.png"/><Relationship Id="rId15" Type="http://schemas.openxmlformats.org/officeDocument/2006/relationships/image" Target="../media/image10.png"/><Relationship Id="rId10" Type="http://schemas.openxmlformats.org/officeDocument/2006/relationships/image" Target="../media/image12.svg"/><Relationship Id="rId4" Type="http://schemas.openxmlformats.org/officeDocument/2006/relationships/image" Target="../media/image4.png"/><Relationship Id="rId9" Type="http://schemas.openxmlformats.org/officeDocument/2006/relationships/image" Target="../media/image11.png"/><Relationship Id="rId14"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3</xdr:col>
      <xdr:colOff>295275</xdr:colOff>
      <xdr:row>12</xdr:row>
      <xdr:rowOff>85725</xdr:rowOff>
    </xdr:from>
    <xdr:to>
      <xdr:col>11</xdr:col>
      <xdr:colOff>200025</xdr:colOff>
      <xdr:row>26</xdr:row>
      <xdr:rowOff>161925</xdr:rowOff>
    </xdr:to>
    <xdr:graphicFrame macro="">
      <xdr:nvGraphicFramePr>
        <xdr:cNvPr id="2" name="Chart 1">
          <a:extLst>
            <a:ext uri="{FF2B5EF4-FFF2-40B4-BE49-F238E27FC236}">
              <a16:creationId xmlns:a16="http://schemas.microsoft.com/office/drawing/2014/main" id="{BF6CBF7F-7E9D-E967-8B33-5BD080DC14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4</xdr:col>
      <xdr:colOff>678180</xdr:colOff>
      <xdr:row>1</xdr:row>
      <xdr:rowOff>53340</xdr:rowOff>
    </xdr:from>
    <xdr:ext cx="1833033" cy="2628688"/>
    <mc:AlternateContent xmlns:mc="http://schemas.openxmlformats.org/markup-compatibility/2006" xmlns:a14="http://schemas.microsoft.com/office/drawing/2010/main">
      <mc:Choice Requires="a14">
        <xdr:graphicFrame macro="">
          <xdr:nvGraphicFramePr>
            <xdr:cNvPr id="2" name="Date.3.1">
              <a:extLst>
                <a:ext uri="{FF2B5EF4-FFF2-40B4-BE49-F238E27FC236}">
                  <a16:creationId xmlns:a16="http://schemas.microsoft.com/office/drawing/2014/main" id="{DA154808-B5CA-4A9E-9A33-6EDC7F4B267D}"/>
                </a:ext>
              </a:extLst>
            </xdr:cNvPr>
            <xdr:cNvGraphicFramePr/>
          </xdr:nvGraphicFramePr>
          <xdr:xfrm>
            <a:off x="0" y="0"/>
            <a:ext cx="0" cy="0"/>
          </xdr:xfrm>
          <a:graphic>
            <a:graphicData uri="http://schemas.microsoft.com/office/drawing/2010/slicer">
              <sle:slicer xmlns:sle="http://schemas.microsoft.com/office/drawing/2010/slicer" name="Date.3.1"/>
            </a:graphicData>
          </a:graphic>
        </xdr:graphicFrame>
      </mc:Choice>
      <mc:Fallback xmlns="">
        <xdr:sp macro="" textlink="">
          <xdr:nvSpPr>
            <xdr:cNvPr id="0" name=""/>
            <xdr:cNvSpPr>
              <a:spLocks noTextEdit="1"/>
            </xdr:cNvSpPr>
          </xdr:nvSpPr>
          <xdr:spPr>
            <a:xfrm>
              <a:off x="7180580" y="239607"/>
              <a:ext cx="1833033" cy="26286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2</xdr:col>
      <xdr:colOff>952500</xdr:colOff>
      <xdr:row>32</xdr:row>
      <xdr:rowOff>133350</xdr:rowOff>
    </xdr:from>
    <xdr:to>
      <xdr:col>8</xdr:col>
      <xdr:colOff>449580</xdr:colOff>
      <xdr:row>47</xdr:row>
      <xdr:rowOff>133350</xdr:rowOff>
    </xdr:to>
    <xdr:graphicFrame macro="">
      <xdr:nvGraphicFramePr>
        <xdr:cNvPr id="4" name="Chart 3">
          <a:extLst>
            <a:ext uri="{FF2B5EF4-FFF2-40B4-BE49-F238E27FC236}">
              <a16:creationId xmlns:a16="http://schemas.microsoft.com/office/drawing/2014/main" id="{4E6ACDAC-0D24-4347-8A0A-AFD102AF4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678180</xdr:colOff>
      <xdr:row>47</xdr:row>
      <xdr:rowOff>179070</xdr:rowOff>
    </xdr:from>
    <xdr:to>
      <xdr:col>8</xdr:col>
      <xdr:colOff>175260</xdr:colOff>
      <xdr:row>62</xdr:row>
      <xdr:rowOff>179070</xdr:rowOff>
    </xdr:to>
    <xdr:graphicFrame macro="">
      <xdr:nvGraphicFramePr>
        <xdr:cNvPr id="5" name="Chart 4">
          <a:extLst>
            <a:ext uri="{FF2B5EF4-FFF2-40B4-BE49-F238E27FC236}">
              <a16:creationId xmlns:a16="http://schemas.microsoft.com/office/drawing/2014/main" id="{95710022-B620-4DAF-BD9F-0C5593879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487680</xdr:colOff>
      <xdr:row>68</xdr:row>
      <xdr:rowOff>41910</xdr:rowOff>
    </xdr:from>
    <xdr:to>
      <xdr:col>13</xdr:col>
      <xdr:colOff>182880</xdr:colOff>
      <xdr:row>83</xdr:row>
      <xdr:rowOff>41910</xdr:rowOff>
    </xdr:to>
    <xdr:graphicFrame macro="">
      <xdr:nvGraphicFramePr>
        <xdr:cNvPr id="6" name="Chart 5">
          <a:extLst>
            <a:ext uri="{FF2B5EF4-FFF2-40B4-BE49-F238E27FC236}">
              <a16:creationId xmlns:a16="http://schemas.microsoft.com/office/drawing/2014/main" id="{69B59861-F754-4806-A160-71DD8A6D7A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313266</xdr:colOff>
      <xdr:row>16</xdr:row>
      <xdr:rowOff>126999</xdr:rowOff>
    </xdr:from>
    <xdr:to>
      <xdr:col>9</xdr:col>
      <xdr:colOff>541866</xdr:colOff>
      <xdr:row>31</xdr:row>
      <xdr:rowOff>76199</xdr:rowOff>
    </xdr:to>
    <xdr:graphicFrame macro="">
      <xdr:nvGraphicFramePr>
        <xdr:cNvPr id="7" name="Chart 6">
          <a:extLst>
            <a:ext uri="{FF2B5EF4-FFF2-40B4-BE49-F238E27FC236}">
              <a16:creationId xmlns:a16="http://schemas.microsoft.com/office/drawing/2014/main" id="{E1D38BAF-FEAC-9E30-DF29-C7D582DBD4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533400</xdr:colOff>
      <xdr:row>0</xdr:row>
      <xdr:rowOff>125730</xdr:rowOff>
    </xdr:from>
    <xdr:to>
      <xdr:col>11</xdr:col>
      <xdr:colOff>228600</xdr:colOff>
      <xdr:row>15</xdr:row>
      <xdr:rowOff>125730</xdr:rowOff>
    </xdr:to>
    <xdr:graphicFrame macro="">
      <xdr:nvGraphicFramePr>
        <xdr:cNvPr id="2" name="Chart 1">
          <a:extLst>
            <a:ext uri="{FF2B5EF4-FFF2-40B4-BE49-F238E27FC236}">
              <a16:creationId xmlns:a16="http://schemas.microsoft.com/office/drawing/2014/main" id="{77F01E7E-FF3A-4746-78FF-E2F113FF89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739140</xdr:colOff>
      <xdr:row>17</xdr:row>
      <xdr:rowOff>80010</xdr:rowOff>
    </xdr:from>
    <xdr:to>
      <xdr:col>8</xdr:col>
      <xdr:colOff>236220</xdr:colOff>
      <xdr:row>32</xdr:row>
      <xdr:rowOff>80010</xdr:rowOff>
    </xdr:to>
    <xdr:graphicFrame macro="">
      <xdr:nvGraphicFramePr>
        <xdr:cNvPr id="3" name="Chart 2">
          <a:extLst>
            <a:ext uri="{FF2B5EF4-FFF2-40B4-BE49-F238E27FC236}">
              <a16:creationId xmlns:a16="http://schemas.microsoft.com/office/drawing/2014/main" id="{941F93D8-832A-7165-7658-3D3D370332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472440</xdr:colOff>
      <xdr:row>32</xdr:row>
      <xdr:rowOff>133350</xdr:rowOff>
    </xdr:from>
    <xdr:to>
      <xdr:col>7</xdr:col>
      <xdr:colOff>579120</xdr:colOff>
      <xdr:row>47</xdr:row>
      <xdr:rowOff>133350</xdr:rowOff>
    </xdr:to>
    <xdr:graphicFrame macro="">
      <xdr:nvGraphicFramePr>
        <xdr:cNvPr id="4" name="Chart 3">
          <a:extLst>
            <a:ext uri="{FF2B5EF4-FFF2-40B4-BE49-F238E27FC236}">
              <a16:creationId xmlns:a16="http://schemas.microsoft.com/office/drawing/2014/main" id="{E996A590-1710-FA80-C676-499B80BE30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784860</xdr:colOff>
      <xdr:row>51</xdr:row>
      <xdr:rowOff>80010</xdr:rowOff>
    </xdr:from>
    <xdr:to>
      <xdr:col>8</xdr:col>
      <xdr:colOff>281940</xdr:colOff>
      <xdr:row>66</xdr:row>
      <xdr:rowOff>80010</xdr:rowOff>
    </xdr:to>
    <xdr:graphicFrame macro="">
      <xdr:nvGraphicFramePr>
        <xdr:cNvPr id="5" name="Chart 4">
          <a:extLst>
            <a:ext uri="{FF2B5EF4-FFF2-40B4-BE49-F238E27FC236}">
              <a16:creationId xmlns:a16="http://schemas.microsoft.com/office/drawing/2014/main" id="{1A2DB572-0AC8-B7E1-04FC-2F4BB71AC8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0</xdr:colOff>
      <xdr:row>2</xdr:row>
      <xdr:rowOff>175260</xdr:rowOff>
    </xdr:from>
    <xdr:to>
      <xdr:col>12</xdr:col>
      <xdr:colOff>1781175</xdr:colOff>
      <xdr:row>17</xdr:row>
      <xdr:rowOff>13335</xdr:rowOff>
    </xdr:to>
    <mc:AlternateContent xmlns:mc="http://schemas.openxmlformats.org/markup-compatibility/2006" xmlns:a14="http://schemas.microsoft.com/office/drawing/2010/main">
      <mc:Choice Requires="a14">
        <xdr:graphicFrame macro="">
          <xdr:nvGraphicFramePr>
            <xdr:cNvPr id="6" name="Date.3.1 1">
              <a:extLst>
                <a:ext uri="{FF2B5EF4-FFF2-40B4-BE49-F238E27FC236}">
                  <a16:creationId xmlns:a16="http://schemas.microsoft.com/office/drawing/2014/main" id="{71C06880-122C-E1C9-8BFB-325B543E8997}"/>
                </a:ext>
              </a:extLst>
            </xdr:cNvPr>
            <xdr:cNvGraphicFramePr/>
          </xdr:nvGraphicFramePr>
          <xdr:xfrm>
            <a:off x="0" y="0"/>
            <a:ext cx="0" cy="0"/>
          </xdr:xfrm>
          <a:graphic>
            <a:graphicData uri="http://schemas.microsoft.com/office/drawing/2010/slicer">
              <sle:slicer xmlns:sle="http://schemas.microsoft.com/office/drawing/2010/slicer" name="Date.3.1 1"/>
            </a:graphicData>
          </a:graphic>
        </xdr:graphicFrame>
      </mc:Choice>
      <mc:Fallback xmlns="">
        <xdr:sp macro="" textlink="">
          <xdr:nvSpPr>
            <xdr:cNvPr id="0" name=""/>
            <xdr:cNvSpPr>
              <a:spLocks noTextEdit="1"/>
            </xdr:cNvSpPr>
          </xdr:nvSpPr>
          <xdr:spPr>
            <a:xfrm>
              <a:off x="10934700" y="5410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133350</xdr:colOff>
      <xdr:row>16</xdr:row>
      <xdr:rowOff>19050</xdr:rowOff>
    </xdr:from>
    <xdr:to>
      <xdr:col>14</xdr:col>
      <xdr:colOff>180975</xdr:colOff>
      <xdr:row>25</xdr:row>
      <xdr:rowOff>123825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01946B8-73C4-3729-D217-12FDAA88640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754350" y="3067050"/>
              <a:ext cx="1830161" cy="1819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889489</xdr:colOff>
      <xdr:row>1</xdr:row>
      <xdr:rowOff>107706</xdr:rowOff>
    </xdr:from>
    <xdr:to>
      <xdr:col>9</xdr:col>
      <xdr:colOff>29308</xdr:colOff>
      <xdr:row>15</xdr:row>
      <xdr:rowOff>183906</xdr:rowOff>
    </xdr:to>
    <xdr:graphicFrame macro="">
      <xdr:nvGraphicFramePr>
        <xdr:cNvPr id="2" name="Chart 1">
          <a:extLst>
            <a:ext uri="{FF2B5EF4-FFF2-40B4-BE49-F238E27FC236}">
              <a16:creationId xmlns:a16="http://schemas.microsoft.com/office/drawing/2014/main" id="{B8571423-D742-1107-1889-491A93D9C4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1285875</xdr:colOff>
      <xdr:row>25</xdr:row>
      <xdr:rowOff>156063</xdr:rowOff>
    </xdr:from>
    <xdr:to>
      <xdr:col>9</xdr:col>
      <xdr:colOff>435952</xdr:colOff>
      <xdr:row>40</xdr:row>
      <xdr:rowOff>41763</xdr:rowOff>
    </xdr:to>
    <xdr:graphicFrame macro="">
      <xdr:nvGraphicFramePr>
        <xdr:cNvPr id="4" name="Chart 3">
          <a:extLst>
            <a:ext uri="{FF2B5EF4-FFF2-40B4-BE49-F238E27FC236}">
              <a16:creationId xmlns:a16="http://schemas.microsoft.com/office/drawing/2014/main" id="{A9BA16EC-A1F0-EB11-04AF-C1DBE3578A66}"/>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614796</xdr:colOff>
      <xdr:row>45</xdr:row>
      <xdr:rowOff>26842</xdr:rowOff>
    </xdr:from>
    <xdr:to>
      <xdr:col>7</xdr:col>
      <xdr:colOff>134215</xdr:colOff>
      <xdr:row>59</xdr:row>
      <xdr:rowOff>103042</xdr:rowOff>
    </xdr:to>
    <xdr:graphicFrame macro="">
      <xdr:nvGraphicFramePr>
        <xdr:cNvPr id="5" name="Chart 4">
          <a:extLst>
            <a:ext uri="{FF2B5EF4-FFF2-40B4-BE49-F238E27FC236}">
              <a16:creationId xmlns:a16="http://schemas.microsoft.com/office/drawing/2014/main" id="{8BF96696-DCFF-93C5-4ACD-92F0252E90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85726</xdr:colOff>
      <xdr:row>11</xdr:row>
      <xdr:rowOff>15586</xdr:rowOff>
    </xdr:from>
    <xdr:to>
      <xdr:col>11</xdr:col>
      <xdr:colOff>1685653</xdr:colOff>
      <xdr:row>22</xdr:row>
      <xdr:rowOff>23206</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ACBBD23C-A4C7-CCB4-6DA6-C39598C296A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8373726" y="2111086"/>
              <a:ext cx="1599927" cy="2103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380135</xdr:colOff>
      <xdr:row>11</xdr:row>
      <xdr:rowOff>24246</xdr:rowOff>
    </xdr:from>
    <xdr:to>
      <xdr:col>15</xdr:col>
      <xdr:colOff>403419</xdr:colOff>
      <xdr:row>19</xdr:row>
      <xdr:rowOff>31750</xdr:rowOff>
    </xdr:to>
    <mc:AlternateContent xmlns:mc="http://schemas.openxmlformats.org/markup-compatibility/2006" xmlns:a14="http://schemas.microsoft.com/office/drawing/2010/main">
      <mc:Choice Requires="a14">
        <xdr:graphicFrame macro="">
          <xdr:nvGraphicFramePr>
            <xdr:cNvPr id="8" name="Season">
              <a:extLst>
                <a:ext uri="{FF2B5EF4-FFF2-40B4-BE49-F238E27FC236}">
                  <a16:creationId xmlns:a16="http://schemas.microsoft.com/office/drawing/2014/main" id="{A280D24F-62F6-993B-6FB0-07C410EC199C}"/>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1481090" y="2119746"/>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1142615</xdr:colOff>
      <xdr:row>66</xdr:row>
      <xdr:rowOff>50222</xdr:rowOff>
    </xdr:from>
    <xdr:to>
      <xdr:col>11</xdr:col>
      <xdr:colOff>62729</xdr:colOff>
      <xdr:row>81</xdr:row>
      <xdr:rowOff>102176</xdr:rowOff>
    </xdr:to>
    <xdr:graphicFrame macro="">
      <xdr:nvGraphicFramePr>
        <xdr:cNvPr id="7" name="Chart 6">
          <a:extLst>
            <a:ext uri="{FF2B5EF4-FFF2-40B4-BE49-F238E27FC236}">
              <a16:creationId xmlns:a16="http://schemas.microsoft.com/office/drawing/2014/main" id="{B8ABC113-0B8C-4431-A538-58274EC187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86591</xdr:colOff>
      <xdr:row>85</xdr:row>
      <xdr:rowOff>169719</xdr:rowOff>
    </xdr:from>
    <xdr:to>
      <xdr:col>7</xdr:col>
      <xdr:colOff>550718</xdr:colOff>
      <xdr:row>101</xdr:row>
      <xdr:rowOff>31174</xdr:rowOff>
    </xdr:to>
    <xdr:graphicFrame macro="">
      <xdr:nvGraphicFramePr>
        <xdr:cNvPr id="9" name="Chart 8">
          <a:extLst>
            <a:ext uri="{FF2B5EF4-FFF2-40B4-BE49-F238E27FC236}">
              <a16:creationId xmlns:a16="http://schemas.microsoft.com/office/drawing/2014/main" id="{F9C5FA1E-4671-A14E-88B5-3E37F1E5B9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593059</xdr:colOff>
      <xdr:row>0</xdr:row>
      <xdr:rowOff>33825</xdr:rowOff>
    </xdr:from>
    <xdr:to>
      <xdr:col>20</xdr:col>
      <xdr:colOff>276225</xdr:colOff>
      <xdr:row>56</xdr:row>
      <xdr:rowOff>21981</xdr:rowOff>
    </xdr:to>
    <xdr:sp macro="" textlink="">
      <xdr:nvSpPr>
        <xdr:cNvPr id="2" name="Rectangle 1">
          <a:extLst>
            <a:ext uri="{FF2B5EF4-FFF2-40B4-BE49-F238E27FC236}">
              <a16:creationId xmlns:a16="http://schemas.microsoft.com/office/drawing/2014/main" id="{8C2D828D-BF51-CCC6-D400-D9DF75A8AB95}"/>
            </a:ext>
          </a:extLst>
        </xdr:cNvPr>
        <xdr:cNvSpPr/>
      </xdr:nvSpPr>
      <xdr:spPr>
        <a:xfrm>
          <a:off x="593059" y="33825"/>
          <a:ext cx="11845858" cy="10656156"/>
        </a:xfrm>
        <a:prstGeom prst="rect">
          <a:avLst/>
        </a:prstGeom>
        <a:gradFill flip="none" rotWithShape="1">
          <a:gsLst>
            <a:gs pos="0">
              <a:schemeClr val="tx1">
                <a:lumMod val="95000"/>
                <a:lumOff val="5000"/>
              </a:schemeClr>
            </a:gs>
            <a:gs pos="35000">
              <a:srgbClr val="1F1B45"/>
            </a:gs>
            <a:gs pos="100000">
              <a:srgbClr val="1F1B45"/>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182879</xdr:colOff>
      <xdr:row>0</xdr:row>
      <xdr:rowOff>144780</xdr:rowOff>
    </xdr:from>
    <xdr:to>
      <xdr:col>20</xdr:col>
      <xdr:colOff>66675</xdr:colOff>
      <xdr:row>6</xdr:row>
      <xdr:rowOff>91440</xdr:rowOff>
    </xdr:to>
    <xdr:sp macro="" textlink="">
      <xdr:nvSpPr>
        <xdr:cNvPr id="4" name="Rectangle: Rounded Corners 3">
          <a:extLst>
            <a:ext uri="{FF2B5EF4-FFF2-40B4-BE49-F238E27FC236}">
              <a16:creationId xmlns:a16="http://schemas.microsoft.com/office/drawing/2014/main" id="{327B9695-83FB-B0B6-E109-C0AA351219A3}"/>
            </a:ext>
            <a:ext uri="{147F2762-F138-4A5C-976F-8EAC2B608ADB}">
              <a16:predDERef xmlns:a16="http://schemas.microsoft.com/office/drawing/2014/main" pred="{8C2D828D-BF51-CCC6-D400-D9DF75A8AB95}"/>
            </a:ext>
          </a:extLst>
        </xdr:cNvPr>
        <xdr:cNvSpPr/>
      </xdr:nvSpPr>
      <xdr:spPr>
        <a:xfrm>
          <a:off x="792479" y="144780"/>
          <a:ext cx="11466196" cy="1089660"/>
        </a:xfrm>
        <a:prstGeom prst="roundRect">
          <a:avLst/>
        </a:prstGeom>
        <a:solidFill>
          <a:srgbClr val="1E1A47">
            <a:alpha val="64706"/>
          </a:srgbClr>
        </a:solidFill>
        <a:ln w="127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lvl="0" indent="0" algn="l"/>
          <a:r>
            <a:rPr lang="en-US" sz="2000">
              <a:solidFill>
                <a:schemeClr val="lt1"/>
              </a:solidFill>
              <a:latin typeface="+mn-lt"/>
              <a:ea typeface="+mn-lt"/>
              <a:cs typeface="+mn-lt"/>
            </a:rPr>
            <a:t>                </a:t>
          </a:r>
          <a:r>
            <a:rPr lang="en-US" sz="2400" b="1">
              <a:gradFill>
                <a:gsLst>
                  <a:gs pos="0">
                    <a:srgbClr val="D54CB8"/>
                  </a:gs>
                  <a:gs pos="35000">
                    <a:srgbClr val="B053EB"/>
                  </a:gs>
                  <a:gs pos="100000">
                    <a:srgbClr val="7861F3"/>
                  </a:gs>
                </a:gsLst>
                <a:lin ang="2700000" scaled="1"/>
              </a:gradFill>
              <a:latin typeface="+mn-lt"/>
              <a:ea typeface="+mn-lt"/>
              <a:cs typeface="+mn-lt"/>
            </a:rPr>
            <a:t>Anime</a:t>
          </a:r>
          <a:r>
            <a:rPr lang="en-US" sz="2400" b="1" baseline="0">
              <a:gradFill>
                <a:gsLst>
                  <a:gs pos="0">
                    <a:srgbClr val="D54CB8"/>
                  </a:gs>
                  <a:gs pos="35000">
                    <a:srgbClr val="B053EB"/>
                  </a:gs>
                  <a:gs pos="100000">
                    <a:srgbClr val="7861F3"/>
                  </a:gs>
                </a:gsLst>
                <a:lin ang="2700000" scaled="1"/>
              </a:gradFill>
              <a:latin typeface="+mn-lt"/>
              <a:ea typeface="+mn-lt"/>
              <a:cs typeface="+mn-lt"/>
            </a:rPr>
            <a:t> Popularity Analytics</a:t>
          </a:r>
          <a:endParaRPr lang="en-US" sz="2400" b="1">
            <a:gradFill>
              <a:gsLst>
                <a:gs pos="0">
                  <a:srgbClr val="D54CB8"/>
                </a:gs>
                <a:gs pos="35000">
                  <a:srgbClr val="B053EB"/>
                </a:gs>
                <a:gs pos="100000">
                  <a:srgbClr val="7861F3"/>
                </a:gs>
              </a:gsLst>
              <a:lin ang="2700000" scaled="1"/>
            </a:gradFill>
            <a:latin typeface="+mn-lt"/>
            <a:ea typeface="+mn-lt"/>
            <a:cs typeface="+mn-lt"/>
          </a:endParaRPr>
        </a:p>
      </xdr:txBody>
    </xdr:sp>
    <xdr:clientData/>
  </xdr:twoCellAnchor>
  <xdr:twoCellAnchor editAs="oneCell">
    <xdr:from>
      <xdr:col>1</xdr:col>
      <xdr:colOff>381000</xdr:colOff>
      <xdr:row>2</xdr:row>
      <xdr:rowOff>21684</xdr:rowOff>
    </xdr:from>
    <xdr:to>
      <xdr:col>2</xdr:col>
      <xdr:colOff>279400</xdr:colOff>
      <xdr:row>5</xdr:row>
      <xdr:rowOff>635</xdr:rowOff>
    </xdr:to>
    <xdr:pic>
      <xdr:nvPicPr>
        <xdr:cNvPr id="3" name="Picture 2">
          <a:extLst>
            <a:ext uri="{FF2B5EF4-FFF2-40B4-BE49-F238E27FC236}">
              <a16:creationId xmlns:a16="http://schemas.microsoft.com/office/drawing/2014/main" id="{A21FFFA0-2FEC-88EC-D40B-A36636C62AFA}"/>
            </a:ext>
            <a:ext uri="{147F2762-F138-4A5C-976F-8EAC2B608ADB}">
              <a16:predDERef xmlns:a16="http://schemas.microsoft.com/office/drawing/2014/main" pred="{327B9695-83FB-B0B6-E109-C0AA351219A3}"/>
            </a:ext>
          </a:extLst>
        </xdr:cNvPr>
        <xdr:cNvPicPr>
          <a:picLocks noChangeAspect="1"/>
        </xdr:cNvPicPr>
      </xdr:nvPicPr>
      <xdr:blipFill>
        <a:blip xmlns:r="http://schemas.openxmlformats.org/officeDocument/2006/relationships" r:embed="rId1"/>
        <a:stretch>
          <a:fillRect/>
        </a:stretch>
      </xdr:blipFill>
      <xdr:spPr>
        <a:xfrm>
          <a:off x="990600" y="394217"/>
          <a:ext cx="508000" cy="532460"/>
        </a:xfrm>
        <a:prstGeom prst="rect">
          <a:avLst/>
        </a:prstGeom>
        <a:ln>
          <a:noFill/>
        </a:ln>
        <a:effectLst>
          <a:outerShdw blurRad="107950" dist="12700" dir="5400000" algn="ctr">
            <a:srgbClr val="000000"/>
          </a:outerShdw>
          <a:softEdge rad="12700"/>
        </a:effectLst>
      </xdr:spPr>
    </xdr:pic>
    <xdr:clientData/>
  </xdr:twoCellAnchor>
  <xdr:twoCellAnchor>
    <xdr:from>
      <xdr:col>1</xdr:col>
      <xdr:colOff>175260</xdr:colOff>
      <xdr:row>7</xdr:row>
      <xdr:rowOff>129540</xdr:rowOff>
    </xdr:from>
    <xdr:to>
      <xdr:col>4</xdr:col>
      <xdr:colOff>448235</xdr:colOff>
      <xdr:row>14</xdr:row>
      <xdr:rowOff>76200</xdr:rowOff>
    </xdr:to>
    <xdr:sp macro="" textlink="">
      <xdr:nvSpPr>
        <xdr:cNvPr id="5" name="Rectangle: Rounded Corners 4">
          <a:extLst>
            <a:ext uri="{FF2B5EF4-FFF2-40B4-BE49-F238E27FC236}">
              <a16:creationId xmlns:a16="http://schemas.microsoft.com/office/drawing/2014/main" id="{99AFE3C2-7BC0-584C-9932-2C1704B5C7DF}"/>
            </a:ext>
            <a:ext uri="{147F2762-F138-4A5C-976F-8EAC2B608ADB}">
              <a16:predDERef xmlns:a16="http://schemas.microsoft.com/office/drawing/2014/main" pred="{8C2D828D-BF51-CCC6-D400-D9DF75A8AB95}"/>
            </a:ext>
          </a:extLst>
        </xdr:cNvPr>
        <xdr:cNvSpPr/>
      </xdr:nvSpPr>
      <xdr:spPr>
        <a:xfrm>
          <a:off x="782479" y="1463040"/>
          <a:ext cx="2094631" cy="1280160"/>
        </a:xfrm>
        <a:prstGeom prst="roundRect">
          <a:avLst/>
        </a:prstGeom>
        <a:solidFill>
          <a:srgbClr val="1E1A47">
            <a:alpha val="65000"/>
          </a:srgbClr>
        </a:solidFill>
        <a:ln w="127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lvl="0" indent="0" algn="r"/>
          <a:r>
            <a:rPr lang="en-US" sz="1800" b="1">
              <a:gradFill>
                <a:gsLst>
                  <a:gs pos="0">
                    <a:srgbClr val="D54CB8"/>
                  </a:gs>
                  <a:gs pos="35000">
                    <a:srgbClr val="B053EB"/>
                  </a:gs>
                  <a:gs pos="100000">
                    <a:srgbClr val="7861F3"/>
                  </a:gs>
                </a:gsLst>
                <a:lin ang="2700000" scaled="1"/>
              </a:gradFill>
              <a:latin typeface="+mn-lt"/>
              <a:ea typeface="+mn-lt"/>
              <a:cs typeface="+mn-lt"/>
            </a:rPr>
            <a:t>	</a:t>
          </a:r>
        </a:p>
      </xdr:txBody>
    </xdr:sp>
    <xdr:clientData/>
  </xdr:twoCellAnchor>
  <xdr:twoCellAnchor>
    <xdr:from>
      <xdr:col>5</xdr:col>
      <xdr:colOff>70672</xdr:colOff>
      <xdr:row>7</xdr:row>
      <xdr:rowOff>144481</xdr:rowOff>
    </xdr:from>
    <xdr:to>
      <xdr:col>8</xdr:col>
      <xdr:colOff>343647</xdr:colOff>
      <xdr:row>14</xdr:row>
      <xdr:rowOff>91141</xdr:rowOff>
    </xdr:to>
    <xdr:sp macro="" textlink="">
      <xdr:nvSpPr>
        <xdr:cNvPr id="9" name="Rectangle: Rounded Corners 8">
          <a:extLst>
            <a:ext uri="{FF2B5EF4-FFF2-40B4-BE49-F238E27FC236}">
              <a16:creationId xmlns:a16="http://schemas.microsoft.com/office/drawing/2014/main" id="{82B01F4D-CC87-529E-70F7-D6849D0C2803}"/>
            </a:ext>
            <a:ext uri="{147F2762-F138-4A5C-976F-8EAC2B608ADB}">
              <a16:predDERef xmlns:a16="http://schemas.microsoft.com/office/drawing/2014/main" pred="{8C2D828D-BF51-CCC6-D400-D9DF75A8AB95}"/>
            </a:ext>
          </a:extLst>
        </xdr:cNvPr>
        <xdr:cNvSpPr/>
      </xdr:nvSpPr>
      <xdr:spPr>
        <a:xfrm>
          <a:off x="3133613" y="1399540"/>
          <a:ext cx="2110740" cy="1201719"/>
        </a:xfrm>
        <a:prstGeom prst="roundRect">
          <a:avLst/>
        </a:prstGeom>
        <a:solidFill>
          <a:srgbClr val="1E1A47">
            <a:alpha val="65000"/>
          </a:srgbClr>
        </a:solidFill>
        <a:ln w="127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lvl="0" indent="0" algn="l"/>
          <a:endParaRPr lang="en-US" sz="1800" b="1">
            <a:gradFill>
              <a:gsLst>
                <a:gs pos="0">
                  <a:srgbClr val="D54CB8"/>
                </a:gs>
                <a:gs pos="35000">
                  <a:srgbClr val="B053EB"/>
                </a:gs>
                <a:gs pos="100000">
                  <a:srgbClr val="7861F3"/>
                </a:gs>
              </a:gsLst>
              <a:lin ang="2700000" scaled="1"/>
            </a:gradFill>
            <a:latin typeface="+mn-lt"/>
            <a:ea typeface="+mn-lt"/>
            <a:cs typeface="+mn-lt"/>
          </a:endParaRPr>
        </a:p>
      </xdr:txBody>
    </xdr:sp>
    <xdr:clientData/>
  </xdr:twoCellAnchor>
  <xdr:twoCellAnchor>
    <xdr:from>
      <xdr:col>8</xdr:col>
      <xdr:colOff>601084</xdr:colOff>
      <xdr:row>7</xdr:row>
      <xdr:rowOff>166892</xdr:rowOff>
    </xdr:from>
    <xdr:to>
      <xdr:col>12</xdr:col>
      <xdr:colOff>261471</xdr:colOff>
      <xdr:row>14</xdr:row>
      <xdr:rowOff>113552</xdr:rowOff>
    </xdr:to>
    <xdr:sp macro="" textlink="">
      <xdr:nvSpPr>
        <xdr:cNvPr id="10" name="Rectangle: Rounded Corners 9">
          <a:extLst>
            <a:ext uri="{FF2B5EF4-FFF2-40B4-BE49-F238E27FC236}">
              <a16:creationId xmlns:a16="http://schemas.microsoft.com/office/drawing/2014/main" id="{18588547-2EB8-FAF4-E6A3-7B79FD347131}"/>
            </a:ext>
            <a:ext uri="{147F2762-F138-4A5C-976F-8EAC2B608ADB}">
              <a16:predDERef xmlns:a16="http://schemas.microsoft.com/office/drawing/2014/main" pred="{8C2D828D-BF51-CCC6-D400-D9DF75A8AB95}"/>
            </a:ext>
          </a:extLst>
        </xdr:cNvPr>
        <xdr:cNvSpPr/>
      </xdr:nvSpPr>
      <xdr:spPr>
        <a:xfrm>
          <a:off x="5501790" y="1421951"/>
          <a:ext cx="2110740" cy="1201719"/>
        </a:xfrm>
        <a:prstGeom prst="roundRect">
          <a:avLst/>
        </a:prstGeom>
        <a:solidFill>
          <a:srgbClr val="1E1A47">
            <a:alpha val="65000"/>
          </a:srgbClr>
        </a:solidFill>
        <a:ln w="127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lvl="0" indent="0" algn="l"/>
          <a:endParaRPr lang="en-US" sz="1800" b="1">
            <a:gradFill>
              <a:gsLst>
                <a:gs pos="0">
                  <a:srgbClr val="D54CB8"/>
                </a:gs>
                <a:gs pos="35000">
                  <a:srgbClr val="B053EB"/>
                </a:gs>
                <a:gs pos="100000">
                  <a:srgbClr val="7861F3"/>
                </a:gs>
              </a:gsLst>
              <a:lin ang="2700000" scaled="1"/>
            </a:gradFill>
            <a:latin typeface="+mn-lt"/>
            <a:ea typeface="+mn-lt"/>
            <a:cs typeface="+mn-lt"/>
          </a:endParaRPr>
        </a:p>
      </xdr:txBody>
    </xdr:sp>
    <xdr:clientData/>
  </xdr:twoCellAnchor>
  <xdr:twoCellAnchor>
    <xdr:from>
      <xdr:col>12</xdr:col>
      <xdr:colOff>511438</xdr:colOff>
      <xdr:row>8</xdr:row>
      <xdr:rowOff>0</xdr:rowOff>
    </xdr:from>
    <xdr:to>
      <xdr:col>16</xdr:col>
      <xdr:colOff>171825</xdr:colOff>
      <xdr:row>14</xdr:row>
      <xdr:rowOff>150904</xdr:rowOff>
    </xdr:to>
    <xdr:sp macro="" textlink="">
      <xdr:nvSpPr>
        <xdr:cNvPr id="11" name="Rectangle: Rounded Corners 10">
          <a:extLst>
            <a:ext uri="{FF2B5EF4-FFF2-40B4-BE49-F238E27FC236}">
              <a16:creationId xmlns:a16="http://schemas.microsoft.com/office/drawing/2014/main" id="{1F07B649-E957-82B8-3C88-7023935B6282}"/>
            </a:ext>
            <a:ext uri="{147F2762-F138-4A5C-976F-8EAC2B608ADB}">
              <a16:predDERef xmlns:a16="http://schemas.microsoft.com/office/drawing/2014/main" pred="{8C2D828D-BF51-CCC6-D400-D9DF75A8AB95}"/>
            </a:ext>
          </a:extLst>
        </xdr:cNvPr>
        <xdr:cNvSpPr/>
      </xdr:nvSpPr>
      <xdr:spPr>
        <a:xfrm>
          <a:off x="7826638" y="1524000"/>
          <a:ext cx="2098787" cy="1293904"/>
        </a:xfrm>
        <a:prstGeom prst="roundRect">
          <a:avLst/>
        </a:prstGeom>
        <a:solidFill>
          <a:srgbClr val="1E1A47">
            <a:alpha val="65000"/>
          </a:srgbClr>
        </a:solidFill>
        <a:ln w="127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lvl="0" indent="0" algn="l"/>
          <a:endParaRPr lang="en-US" sz="1800" b="1">
            <a:gradFill>
              <a:gsLst>
                <a:gs pos="0">
                  <a:srgbClr val="D54CB8"/>
                </a:gs>
                <a:gs pos="35000">
                  <a:srgbClr val="B053EB"/>
                </a:gs>
                <a:gs pos="100000">
                  <a:srgbClr val="7861F3"/>
                </a:gs>
              </a:gsLst>
              <a:lin ang="2700000" scaled="1"/>
            </a:gradFill>
            <a:latin typeface="+mn-lt"/>
            <a:ea typeface="+mn-lt"/>
            <a:cs typeface="+mn-lt"/>
          </a:endParaRPr>
        </a:p>
      </xdr:txBody>
    </xdr:sp>
    <xdr:clientData/>
  </xdr:twoCellAnchor>
  <xdr:twoCellAnchor>
    <xdr:from>
      <xdr:col>16</xdr:col>
      <xdr:colOff>419177</xdr:colOff>
      <xdr:row>8</xdr:row>
      <xdr:rowOff>9525</xdr:rowOff>
    </xdr:from>
    <xdr:to>
      <xdr:col>20</xdr:col>
      <xdr:colOff>79564</xdr:colOff>
      <xdr:row>14</xdr:row>
      <xdr:rowOff>158374</xdr:rowOff>
    </xdr:to>
    <xdr:sp macro="" textlink="">
      <xdr:nvSpPr>
        <xdr:cNvPr id="12" name="Rectangle: Rounded Corners 11">
          <a:extLst>
            <a:ext uri="{FF2B5EF4-FFF2-40B4-BE49-F238E27FC236}">
              <a16:creationId xmlns:a16="http://schemas.microsoft.com/office/drawing/2014/main" id="{41843217-B7B2-78B8-DCBB-39EE06295695}"/>
            </a:ext>
            <a:ext uri="{147F2762-F138-4A5C-976F-8EAC2B608ADB}">
              <a16:predDERef xmlns:a16="http://schemas.microsoft.com/office/drawing/2014/main" pred="{8C2D828D-BF51-CCC6-D400-D9DF75A8AB95}"/>
            </a:ext>
          </a:extLst>
        </xdr:cNvPr>
        <xdr:cNvSpPr/>
      </xdr:nvSpPr>
      <xdr:spPr>
        <a:xfrm>
          <a:off x="10172777" y="1533525"/>
          <a:ext cx="2098787" cy="1291849"/>
        </a:xfrm>
        <a:prstGeom prst="roundRect">
          <a:avLst/>
        </a:prstGeom>
        <a:solidFill>
          <a:srgbClr val="1E1A47">
            <a:alpha val="65000"/>
          </a:srgbClr>
        </a:solidFill>
        <a:ln w="127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lvl="0" indent="0" algn="l"/>
          <a:endParaRPr lang="en-US" sz="1800" b="1">
            <a:gradFill>
              <a:gsLst>
                <a:gs pos="0">
                  <a:srgbClr val="D54CB8"/>
                </a:gs>
                <a:gs pos="35000">
                  <a:srgbClr val="B053EB"/>
                </a:gs>
                <a:gs pos="100000">
                  <a:srgbClr val="7861F3"/>
                </a:gs>
              </a:gsLst>
              <a:lin ang="2700000" scaled="1"/>
            </a:gradFill>
            <a:latin typeface="+mn-lt"/>
            <a:ea typeface="+mn-lt"/>
            <a:cs typeface="+mn-lt"/>
          </a:endParaRPr>
        </a:p>
      </xdr:txBody>
    </xdr:sp>
    <xdr:clientData/>
  </xdr:twoCellAnchor>
  <xdr:twoCellAnchor editAs="oneCell">
    <xdr:from>
      <xdr:col>1</xdr:col>
      <xdr:colOff>371475</xdr:colOff>
      <xdr:row>8</xdr:row>
      <xdr:rowOff>123825</xdr:rowOff>
    </xdr:from>
    <xdr:to>
      <xdr:col>2</xdr:col>
      <xdr:colOff>85725</xdr:colOff>
      <xdr:row>10</xdr:row>
      <xdr:rowOff>85725</xdr:rowOff>
    </xdr:to>
    <xdr:pic>
      <xdr:nvPicPr>
        <xdr:cNvPr id="6" name="Picture 5">
          <a:extLst>
            <a:ext uri="{FF2B5EF4-FFF2-40B4-BE49-F238E27FC236}">
              <a16:creationId xmlns:a16="http://schemas.microsoft.com/office/drawing/2014/main" id="{31FC9A95-060B-52E4-5F8D-B04C73F4446D}"/>
            </a:ext>
            <a:ext uri="{147F2762-F138-4A5C-976F-8EAC2B608ADB}">
              <a16:predDERef xmlns:a16="http://schemas.microsoft.com/office/drawing/2014/main" pred="{41843217-B7B2-78B8-DCBB-39EE06295695}"/>
            </a:ext>
          </a:extLst>
        </xdr:cNvPr>
        <xdr:cNvPicPr>
          <a:picLocks noChangeAspect="1"/>
        </xdr:cNvPicPr>
      </xdr:nvPicPr>
      <xdr:blipFill>
        <a:blip xmlns:r="http://schemas.openxmlformats.org/officeDocument/2006/relationships" r:embed="rId2"/>
        <a:stretch>
          <a:fillRect/>
        </a:stretch>
      </xdr:blipFill>
      <xdr:spPr>
        <a:xfrm>
          <a:off x="981075" y="1571625"/>
          <a:ext cx="323850" cy="323850"/>
        </a:xfrm>
        <a:prstGeom prst="rect">
          <a:avLst/>
        </a:prstGeom>
      </xdr:spPr>
    </xdr:pic>
    <xdr:clientData/>
  </xdr:twoCellAnchor>
  <xdr:twoCellAnchor editAs="oneCell">
    <xdr:from>
      <xdr:col>5</xdr:col>
      <xdr:colOff>257175</xdr:colOff>
      <xdr:row>8</xdr:row>
      <xdr:rowOff>133350</xdr:rowOff>
    </xdr:from>
    <xdr:to>
      <xdr:col>5</xdr:col>
      <xdr:colOff>590550</xdr:colOff>
      <xdr:row>10</xdr:row>
      <xdr:rowOff>104775</xdr:rowOff>
    </xdr:to>
    <xdr:pic>
      <xdr:nvPicPr>
        <xdr:cNvPr id="7" name="Picture 6">
          <a:extLst>
            <a:ext uri="{FF2B5EF4-FFF2-40B4-BE49-F238E27FC236}">
              <a16:creationId xmlns:a16="http://schemas.microsoft.com/office/drawing/2014/main" id="{87BC41FE-C47F-60FF-AC2E-F27B65F9501A}"/>
            </a:ext>
            <a:ext uri="{147F2762-F138-4A5C-976F-8EAC2B608ADB}">
              <a16:predDERef xmlns:a16="http://schemas.microsoft.com/office/drawing/2014/main" pred="{31FC9A95-060B-52E4-5F8D-B04C73F4446D}"/>
            </a:ext>
          </a:extLst>
        </xdr:cNvPr>
        <xdr:cNvPicPr>
          <a:picLocks noChangeAspect="1"/>
        </xdr:cNvPicPr>
      </xdr:nvPicPr>
      <xdr:blipFill>
        <a:blip xmlns:r="http://schemas.openxmlformats.org/officeDocument/2006/relationships" r:embed="rId3"/>
        <a:stretch>
          <a:fillRect/>
        </a:stretch>
      </xdr:blipFill>
      <xdr:spPr>
        <a:xfrm>
          <a:off x="3305175" y="1581150"/>
          <a:ext cx="333375" cy="333375"/>
        </a:xfrm>
        <a:prstGeom prst="rect">
          <a:avLst/>
        </a:prstGeom>
      </xdr:spPr>
    </xdr:pic>
    <xdr:clientData/>
  </xdr:twoCellAnchor>
  <xdr:twoCellAnchor editAs="oneCell">
    <xdr:from>
      <xdr:col>9</xdr:col>
      <xdr:colOff>180975</xdr:colOff>
      <xdr:row>8</xdr:row>
      <xdr:rowOff>161925</xdr:rowOff>
    </xdr:from>
    <xdr:to>
      <xdr:col>9</xdr:col>
      <xdr:colOff>533400</xdr:colOff>
      <xdr:row>10</xdr:row>
      <xdr:rowOff>152400</xdr:rowOff>
    </xdr:to>
    <xdr:pic>
      <xdr:nvPicPr>
        <xdr:cNvPr id="8" name="Picture 7">
          <a:extLst>
            <a:ext uri="{FF2B5EF4-FFF2-40B4-BE49-F238E27FC236}">
              <a16:creationId xmlns:a16="http://schemas.microsoft.com/office/drawing/2014/main" id="{6EA48318-A415-274B-4074-33E392EC08C2}"/>
            </a:ext>
            <a:ext uri="{147F2762-F138-4A5C-976F-8EAC2B608ADB}">
              <a16:predDERef xmlns:a16="http://schemas.microsoft.com/office/drawing/2014/main" pred="{87BC41FE-C47F-60FF-AC2E-F27B65F9501A}"/>
            </a:ext>
          </a:extLst>
        </xdr:cNvPr>
        <xdr:cNvPicPr>
          <a:picLocks noChangeAspect="1"/>
        </xdr:cNvPicPr>
      </xdr:nvPicPr>
      <xdr:blipFill>
        <a:blip xmlns:r="http://schemas.openxmlformats.org/officeDocument/2006/relationships" r:embed="rId4"/>
        <a:stretch>
          <a:fillRect/>
        </a:stretch>
      </xdr:blipFill>
      <xdr:spPr>
        <a:xfrm>
          <a:off x="5667375" y="1609725"/>
          <a:ext cx="352425" cy="352425"/>
        </a:xfrm>
        <a:prstGeom prst="rect">
          <a:avLst/>
        </a:prstGeom>
      </xdr:spPr>
    </xdr:pic>
    <xdr:clientData/>
  </xdr:twoCellAnchor>
  <xdr:twoCellAnchor editAs="oneCell">
    <xdr:from>
      <xdr:col>13</xdr:col>
      <xdr:colOff>104775</xdr:colOff>
      <xdr:row>9</xdr:row>
      <xdr:rowOff>16119</xdr:rowOff>
    </xdr:from>
    <xdr:to>
      <xdr:col>13</xdr:col>
      <xdr:colOff>466725</xdr:colOff>
      <xdr:row>11</xdr:row>
      <xdr:rowOff>6594</xdr:rowOff>
    </xdr:to>
    <xdr:pic>
      <xdr:nvPicPr>
        <xdr:cNvPr id="13" name="Picture 12">
          <a:extLst>
            <a:ext uri="{FF2B5EF4-FFF2-40B4-BE49-F238E27FC236}">
              <a16:creationId xmlns:a16="http://schemas.microsoft.com/office/drawing/2014/main" id="{E8382889-77AE-3620-0FE0-AF6D80B67720}"/>
            </a:ext>
            <a:ext uri="{147F2762-F138-4A5C-976F-8EAC2B608ADB}">
              <a16:predDERef xmlns:a16="http://schemas.microsoft.com/office/drawing/2014/main" pred="{6EA48318-A415-274B-4074-33E392EC08C2}"/>
            </a:ext>
          </a:extLst>
        </xdr:cNvPr>
        <xdr:cNvPicPr>
          <a:picLocks noChangeAspect="1"/>
        </xdr:cNvPicPr>
      </xdr:nvPicPr>
      <xdr:blipFill>
        <a:blip xmlns:r="http://schemas.openxmlformats.org/officeDocument/2006/relationships" r:embed="rId5"/>
        <a:stretch>
          <a:fillRect/>
        </a:stretch>
      </xdr:blipFill>
      <xdr:spPr>
        <a:xfrm>
          <a:off x="8010525" y="1730619"/>
          <a:ext cx="361950" cy="371475"/>
        </a:xfrm>
        <a:prstGeom prst="rect">
          <a:avLst/>
        </a:prstGeom>
      </xdr:spPr>
    </xdr:pic>
    <xdr:clientData/>
  </xdr:twoCellAnchor>
  <xdr:twoCellAnchor editAs="oneCell">
    <xdr:from>
      <xdr:col>16</xdr:col>
      <xdr:colOff>600075</xdr:colOff>
      <xdr:row>9</xdr:row>
      <xdr:rowOff>28575</xdr:rowOff>
    </xdr:from>
    <xdr:to>
      <xdr:col>17</xdr:col>
      <xdr:colOff>352425</xdr:colOff>
      <xdr:row>11</xdr:row>
      <xdr:rowOff>19050</xdr:rowOff>
    </xdr:to>
    <xdr:pic>
      <xdr:nvPicPr>
        <xdr:cNvPr id="14" name="Picture 13">
          <a:extLst>
            <a:ext uri="{FF2B5EF4-FFF2-40B4-BE49-F238E27FC236}">
              <a16:creationId xmlns:a16="http://schemas.microsoft.com/office/drawing/2014/main" id="{A8C9ED7B-34AB-D64E-FEFE-04DF7E6FD7B4}"/>
            </a:ext>
            <a:ext uri="{147F2762-F138-4A5C-976F-8EAC2B608ADB}">
              <a16:predDERef xmlns:a16="http://schemas.microsoft.com/office/drawing/2014/main" pred="{E8382889-77AE-3620-0FE0-AF6D80B67720}"/>
            </a:ext>
          </a:extLst>
        </xdr:cNvPr>
        <xdr:cNvPicPr>
          <a:picLocks noChangeAspect="1"/>
        </xdr:cNvPicPr>
      </xdr:nvPicPr>
      <xdr:blipFill>
        <a:blip xmlns:r="http://schemas.openxmlformats.org/officeDocument/2006/relationships" r:embed="rId6"/>
        <a:stretch>
          <a:fillRect/>
        </a:stretch>
      </xdr:blipFill>
      <xdr:spPr>
        <a:xfrm>
          <a:off x="10353675" y="1743075"/>
          <a:ext cx="361950" cy="371475"/>
        </a:xfrm>
        <a:prstGeom prst="rect">
          <a:avLst/>
        </a:prstGeom>
      </xdr:spPr>
    </xdr:pic>
    <xdr:clientData/>
  </xdr:twoCellAnchor>
  <xdr:twoCellAnchor>
    <xdr:from>
      <xdr:col>3</xdr:col>
      <xdr:colOff>416718</xdr:colOff>
      <xdr:row>8</xdr:row>
      <xdr:rowOff>126057</xdr:rowOff>
    </xdr:from>
    <xdr:to>
      <xdr:col>4</xdr:col>
      <xdr:colOff>316952</xdr:colOff>
      <xdr:row>9</xdr:row>
      <xdr:rowOff>111277</xdr:rowOff>
    </xdr:to>
    <xdr:sp macro="" textlink="">
      <xdr:nvSpPr>
        <xdr:cNvPr id="15" name="Flowchart: Terminator 14">
          <a:extLst>
            <a:ext uri="{FF2B5EF4-FFF2-40B4-BE49-F238E27FC236}">
              <a16:creationId xmlns:a16="http://schemas.microsoft.com/office/drawing/2014/main" id="{EC4A6AEA-6D73-6FAF-140F-5B673F57D068}"/>
            </a:ext>
          </a:extLst>
        </xdr:cNvPr>
        <xdr:cNvSpPr/>
      </xdr:nvSpPr>
      <xdr:spPr>
        <a:xfrm>
          <a:off x="2241122" y="1650057"/>
          <a:ext cx="508368" cy="175720"/>
        </a:xfrm>
        <a:prstGeom prst="flowChartTerminator">
          <a:avLst/>
        </a:prstGeom>
        <a:solidFill>
          <a:srgbClr val="42BE77">
            <a:alpha val="1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a:solidFill>
                <a:srgbClr val="42BE77"/>
              </a:solidFill>
            </a:rPr>
            <a:t>Total</a:t>
          </a:r>
        </a:p>
      </xdr:txBody>
    </xdr:sp>
    <xdr:clientData/>
  </xdr:twoCellAnchor>
  <xdr:twoCellAnchor>
    <xdr:from>
      <xdr:col>7</xdr:col>
      <xdr:colOff>173066</xdr:colOff>
      <xdr:row>8</xdr:row>
      <xdr:rowOff>118242</xdr:rowOff>
    </xdr:from>
    <xdr:to>
      <xdr:col>8</xdr:col>
      <xdr:colOff>238114</xdr:colOff>
      <xdr:row>9</xdr:row>
      <xdr:rowOff>144518</xdr:rowOff>
    </xdr:to>
    <xdr:sp macro="" textlink="">
      <xdr:nvSpPr>
        <xdr:cNvPr id="16" name="Flowchart: Terminator 15">
          <a:extLst>
            <a:ext uri="{FF2B5EF4-FFF2-40B4-BE49-F238E27FC236}">
              <a16:creationId xmlns:a16="http://schemas.microsoft.com/office/drawing/2014/main" id="{CB38FEFF-56B0-B9CF-8F19-F3F0A0295289}"/>
            </a:ext>
          </a:extLst>
        </xdr:cNvPr>
        <xdr:cNvSpPr/>
      </xdr:nvSpPr>
      <xdr:spPr>
        <a:xfrm>
          <a:off x="4430008" y="1642242"/>
          <a:ext cx="673183" cy="216776"/>
        </a:xfrm>
        <a:prstGeom prst="flowChartTerminator">
          <a:avLst/>
        </a:prstGeom>
        <a:solidFill>
          <a:srgbClr val="D4AD1F">
            <a:alpha val="1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a:solidFill>
                <a:srgbClr val="D4AD1F"/>
              </a:solidFill>
            </a:rPr>
            <a:t>Average</a:t>
          </a:r>
        </a:p>
      </xdr:txBody>
    </xdr:sp>
    <xdr:clientData/>
  </xdr:twoCellAnchor>
  <xdr:twoCellAnchor>
    <xdr:from>
      <xdr:col>11</xdr:col>
      <xdr:colOff>7327</xdr:colOff>
      <xdr:row>8</xdr:row>
      <xdr:rowOff>151103</xdr:rowOff>
    </xdr:from>
    <xdr:to>
      <xdr:col>12</xdr:col>
      <xdr:colOff>151772</xdr:colOff>
      <xdr:row>9</xdr:row>
      <xdr:rowOff>171551</xdr:rowOff>
    </xdr:to>
    <xdr:sp macro="" textlink="">
      <xdr:nvSpPr>
        <xdr:cNvPr id="19" name="Flowchart: Terminator 18">
          <a:extLst>
            <a:ext uri="{FF2B5EF4-FFF2-40B4-BE49-F238E27FC236}">
              <a16:creationId xmlns:a16="http://schemas.microsoft.com/office/drawing/2014/main" id="{3EC2A908-75EB-A7C3-74D2-A8B098179BB0}"/>
            </a:ext>
          </a:extLst>
        </xdr:cNvPr>
        <xdr:cNvSpPr/>
      </xdr:nvSpPr>
      <xdr:spPr>
        <a:xfrm>
          <a:off x="6696808" y="1675103"/>
          <a:ext cx="752579" cy="210948"/>
        </a:xfrm>
        <a:prstGeom prst="flowChartTerminator">
          <a:avLst/>
        </a:prstGeom>
        <a:solidFill>
          <a:srgbClr val="EE6EB3">
            <a:alpha val="1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a:solidFill>
                <a:srgbClr val="EE6EB3"/>
              </a:solidFill>
            </a:rPr>
            <a:t>Members</a:t>
          </a:r>
        </a:p>
      </xdr:txBody>
    </xdr:sp>
    <xdr:clientData/>
  </xdr:twoCellAnchor>
  <xdr:twoCellAnchor>
    <xdr:from>
      <xdr:col>14</xdr:col>
      <xdr:colOff>424962</xdr:colOff>
      <xdr:row>8</xdr:row>
      <xdr:rowOff>186904</xdr:rowOff>
    </xdr:from>
    <xdr:to>
      <xdr:col>16</xdr:col>
      <xdr:colOff>46494</xdr:colOff>
      <xdr:row>10</xdr:row>
      <xdr:rowOff>6570</xdr:rowOff>
    </xdr:to>
    <xdr:sp macro="" textlink="">
      <xdr:nvSpPr>
        <xdr:cNvPr id="20" name="Flowchart: Terminator 19">
          <a:extLst>
            <a:ext uri="{FF2B5EF4-FFF2-40B4-BE49-F238E27FC236}">
              <a16:creationId xmlns:a16="http://schemas.microsoft.com/office/drawing/2014/main" id="{13A281D5-774A-EB97-4AF7-4471A04823FF}"/>
            </a:ext>
          </a:extLst>
        </xdr:cNvPr>
        <xdr:cNvSpPr/>
      </xdr:nvSpPr>
      <xdr:spPr>
        <a:xfrm>
          <a:off x="8938847" y="1710904"/>
          <a:ext cx="837801" cy="200666"/>
        </a:xfrm>
        <a:prstGeom prst="flowChartTerminator">
          <a:avLst/>
        </a:prstGeom>
        <a:solidFill>
          <a:srgbClr val="BC80F8">
            <a:alpha val="1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a:solidFill>
                <a:srgbClr val="BC80F8"/>
              </a:solidFill>
            </a:rPr>
            <a:t>Top</a:t>
          </a:r>
          <a:r>
            <a:rPr lang="en-US" sz="1050" baseline="0">
              <a:solidFill>
                <a:srgbClr val="BC80F8"/>
              </a:solidFill>
            </a:rPr>
            <a:t> Genre</a:t>
          </a:r>
          <a:endParaRPr lang="en-US" sz="1050">
            <a:solidFill>
              <a:srgbClr val="BC80F8"/>
            </a:solidFill>
          </a:endParaRPr>
        </a:p>
      </xdr:txBody>
    </xdr:sp>
    <xdr:clientData/>
  </xdr:twoCellAnchor>
  <xdr:twoCellAnchor>
    <xdr:from>
      <xdr:col>18</xdr:col>
      <xdr:colOff>530680</xdr:colOff>
      <xdr:row>9</xdr:row>
      <xdr:rowOff>4684</xdr:rowOff>
    </xdr:from>
    <xdr:to>
      <xdr:col>19</xdr:col>
      <xdr:colOff>581168</xdr:colOff>
      <xdr:row>10</xdr:row>
      <xdr:rowOff>14653</xdr:rowOff>
    </xdr:to>
    <xdr:sp macro="" textlink="">
      <xdr:nvSpPr>
        <xdr:cNvPr id="21" name="Flowchart: Terminator 20">
          <a:extLst>
            <a:ext uri="{FF2B5EF4-FFF2-40B4-BE49-F238E27FC236}">
              <a16:creationId xmlns:a16="http://schemas.microsoft.com/office/drawing/2014/main" id="{57E70132-81A6-15F5-9BB9-F50A2098E9D5}"/>
            </a:ext>
          </a:extLst>
        </xdr:cNvPr>
        <xdr:cNvSpPr/>
      </xdr:nvSpPr>
      <xdr:spPr>
        <a:xfrm>
          <a:off x="11503480" y="1719184"/>
          <a:ext cx="660088" cy="200469"/>
        </a:xfrm>
        <a:prstGeom prst="flowChartTerminator">
          <a:avLst/>
        </a:prstGeom>
        <a:solidFill>
          <a:srgbClr val="42BE77">
            <a:alpha val="1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a:solidFill>
                <a:srgbClr val="42BE77"/>
              </a:solidFill>
            </a:rPr>
            <a:t>Highest</a:t>
          </a:r>
        </a:p>
      </xdr:txBody>
    </xdr:sp>
    <xdr:clientData/>
  </xdr:twoCellAnchor>
  <xdr:twoCellAnchor>
    <xdr:from>
      <xdr:col>1</xdr:col>
      <xdr:colOff>281639</xdr:colOff>
      <xdr:row>10</xdr:row>
      <xdr:rowOff>145800</xdr:rowOff>
    </xdr:from>
    <xdr:to>
      <xdr:col>2</xdr:col>
      <xdr:colOff>472139</xdr:colOff>
      <xdr:row>11</xdr:row>
      <xdr:rowOff>168520</xdr:rowOff>
    </xdr:to>
    <xdr:sp macro="" textlink="">
      <xdr:nvSpPr>
        <xdr:cNvPr id="23" name="TextBox 22">
          <a:extLst>
            <a:ext uri="{FF2B5EF4-FFF2-40B4-BE49-F238E27FC236}">
              <a16:creationId xmlns:a16="http://schemas.microsoft.com/office/drawing/2014/main" id="{70FBEBAF-250D-335D-FFFE-56CD5934A216}"/>
            </a:ext>
          </a:extLst>
        </xdr:cNvPr>
        <xdr:cNvSpPr txBox="1"/>
      </xdr:nvSpPr>
      <xdr:spPr>
        <a:xfrm>
          <a:off x="889774" y="2050800"/>
          <a:ext cx="798634" cy="213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lumMod val="75000"/>
                </a:schemeClr>
              </a:solidFill>
            </a:rPr>
            <a:t>Total Anime</a:t>
          </a:r>
        </a:p>
        <a:p>
          <a:r>
            <a:rPr lang="en-US" sz="2400" b="1">
              <a:solidFill>
                <a:srgbClr val="F4FBFE"/>
              </a:solidFill>
            </a:rPr>
            <a:t>623</a:t>
          </a:r>
          <a:r>
            <a:rPr lang="en-US" sz="1000">
              <a:solidFill>
                <a:srgbClr val="F4FBFE"/>
              </a:solidFill>
            </a:rPr>
            <a:t>	</a:t>
          </a:r>
        </a:p>
      </xdr:txBody>
    </xdr:sp>
    <xdr:clientData/>
  </xdr:twoCellAnchor>
  <xdr:twoCellAnchor>
    <xdr:from>
      <xdr:col>5</xdr:col>
      <xdr:colOff>168994</xdr:colOff>
      <xdr:row>10</xdr:row>
      <xdr:rowOff>151072</xdr:rowOff>
    </xdr:from>
    <xdr:to>
      <xdr:col>6</xdr:col>
      <xdr:colOff>359494</xdr:colOff>
      <xdr:row>11</xdr:row>
      <xdr:rowOff>176561</xdr:rowOff>
    </xdr:to>
    <xdr:sp macro="" textlink="">
      <xdr:nvSpPr>
        <xdr:cNvPr id="24" name="TextBox 23">
          <a:extLst>
            <a:ext uri="{FF2B5EF4-FFF2-40B4-BE49-F238E27FC236}">
              <a16:creationId xmlns:a16="http://schemas.microsoft.com/office/drawing/2014/main" id="{B47267D7-D173-D413-0753-A8EE3614D6E7}"/>
            </a:ext>
          </a:extLst>
        </xdr:cNvPr>
        <xdr:cNvSpPr txBox="1"/>
      </xdr:nvSpPr>
      <xdr:spPr>
        <a:xfrm>
          <a:off x="3212348" y="2056072"/>
          <a:ext cx="799170" cy="215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lumMod val="75000"/>
                </a:schemeClr>
              </a:solidFill>
            </a:rPr>
            <a:t>Avg</a:t>
          </a:r>
          <a:r>
            <a:rPr lang="en-US" sz="1000" baseline="0">
              <a:solidFill>
                <a:schemeClr val="bg1">
                  <a:lumMod val="75000"/>
                </a:schemeClr>
              </a:solidFill>
            </a:rPr>
            <a:t> Rating</a:t>
          </a:r>
          <a:endParaRPr lang="en-US" sz="1000">
            <a:solidFill>
              <a:schemeClr val="bg1">
                <a:lumMod val="75000"/>
              </a:schemeClr>
            </a:solidFill>
          </a:endParaRPr>
        </a:p>
        <a:p>
          <a:endParaRPr lang="en-US" sz="1000">
            <a:solidFill>
              <a:srgbClr val="F4FBFE"/>
            </a:solidFill>
          </a:endParaRPr>
        </a:p>
        <a:p>
          <a:r>
            <a:rPr lang="en-US" sz="1000">
              <a:solidFill>
                <a:srgbClr val="F4FBFE"/>
              </a:solidFill>
            </a:rPr>
            <a:t>	</a:t>
          </a:r>
        </a:p>
      </xdr:txBody>
    </xdr:sp>
    <xdr:clientData/>
  </xdr:twoCellAnchor>
  <xdr:twoCellAnchor>
    <xdr:from>
      <xdr:col>9</xdr:col>
      <xdr:colOff>89741</xdr:colOff>
      <xdr:row>11</xdr:row>
      <xdr:rowOff>849</xdr:rowOff>
    </xdr:from>
    <xdr:to>
      <xdr:col>11</xdr:col>
      <xdr:colOff>83634</xdr:colOff>
      <xdr:row>15</xdr:row>
      <xdr:rowOff>60960</xdr:rowOff>
    </xdr:to>
    <xdr:sp macro="" textlink="">
      <xdr:nvSpPr>
        <xdr:cNvPr id="25" name="TextBox 24">
          <a:extLst>
            <a:ext uri="{FF2B5EF4-FFF2-40B4-BE49-F238E27FC236}">
              <a16:creationId xmlns:a16="http://schemas.microsoft.com/office/drawing/2014/main" id="{B297F92E-A7F4-E4AD-EA95-8ACBD5D61A94}"/>
            </a:ext>
          </a:extLst>
        </xdr:cNvPr>
        <xdr:cNvSpPr txBox="1"/>
      </xdr:nvSpPr>
      <xdr:spPr>
        <a:xfrm>
          <a:off x="5576141" y="2012529"/>
          <a:ext cx="1213093" cy="791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lumMod val="75000"/>
                </a:schemeClr>
              </a:solidFill>
            </a:rPr>
            <a:t>Total</a:t>
          </a:r>
          <a:r>
            <a:rPr lang="en-US" sz="1000" baseline="0">
              <a:solidFill>
                <a:schemeClr val="bg1">
                  <a:lumMod val="75000"/>
                </a:schemeClr>
              </a:solidFill>
            </a:rPr>
            <a:t> Members</a:t>
          </a:r>
          <a:endParaRPr lang="en-US" sz="1000">
            <a:solidFill>
              <a:schemeClr val="bg1">
                <a:lumMod val="75000"/>
              </a:schemeClr>
            </a:solidFill>
          </a:endParaRPr>
        </a:p>
        <a:p>
          <a:r>
            <a:rPr lang="en-US" sz="2400" b="1">
              <a:solidFill>
                <a:srgbClr val="F4FBFE"/>
              </a:solidFill>
            </a:rPr>
            <a:t>130.9M</a:t>
          </a:r>
          <a:r>
            <a:rPr lang="en-US" sz="1000">
              <a:solidFill>
                <a:srgbClr val="F4FBFE"/>
              </a:solidFill>
            </a:rPr>
            <a:t>	</a:t>
          </a:r>
        </a:p>
      </xdr:txBody>
    </xdr:sp>
    <xdr:clientData/>
  </xdr:twoCellAnchor>
  <xdr:twoCellAnchor>
    <xdr:from>
      <xdr:col>13</xdr:col>
      <xdr:colOff>12081</xdr:colOff>
      <xdr:row>11</xdr:row>
      <xdr:rowOff>30664</xdr:rowOff>
    </xdr:from>
    <xdr:to>
      <xdr:col>14</xdr:col>
      <xdr:colOff>202581</xdr:colOff>
      <xdr:row>12</xdr:row>
      <xdr:rowOff>43962</xdr:rowOff>
    </xdr:to>
    <xdr:sp macro="" textlink="">
      <xdr:nvSpPr>
        <xdr:cNvPr id="26" name="TextBox 25">
          <a:extLst>
            <a:ext uri="{FF2B5EF4-FFF2-40B4-BE49-F238E27FC236}">
              <a16:creationId xmlns:a16="http://schemas.microsoft.com/office/drawing/2014/main" id="{D4274719-E15C-0E87-04C9-B9072C5B4723}"/>
            </a:ext>
          </a:extLst>
        </xdr:cNvPr>
        <xdr:cNvSpPr txBox="1"/>
      </xdr:nvSpPr>
      <xdr:spPr>
        <a:xfrm>
          <a:off x="7917831" y="2126164"/>
          <a:ext cx="798635" cy="203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lumMod val="75000"/>
                </a:schemeClr>
              </a:solidFill>
            </a:rPr>
            <a:t>Action</a:t>
          </a:r>
        </a:p>
        <a:p>
          <a:r>
            <a:rPr lang="en-US" sz="1000">
              <a:solidFill>
                <a:srgbClr val="F4FBFE"/>
              </a:solidFill>
            </a:rPr>
            <a:t>	</a:t>
          </a:r>
        </a:p>
      </xdr:txBody>
    </xdr:sp>
    <xdr:clientData/>
  </xdr:twoCellAnchor>
  <xdr:twoCellAnchor>
    <xdr:from>
      <xdr:col>16</xdr:col>
      <xdr:colOff>509439</xdr:colOff>
      <xdr:row>11</xdr:row>
      <xdr:rowOff>43808</xdr:rowOff>
    </xdr:from>
    <xdr:to>
      <xdr:col>18</xdr:col>
      <xdr:colOff>586833</xdr:colOff>
      <xdr:row>15</xdr:row>
      <xdr:rowOff>68580</xdr:rowOff>
    </xdr:to>
    <xdr:sp macro="" textlink="">
      <xdr:nvSpPr>
        <xdr:cNvPr id="27" name="TextBox 26">
          <a:extLst>
            <a:ext uri="{FF2B5EF4-FFF2-40B4-BE49-F238E27FC236}">
              <a16:creationId xmlns:a16="http://schemas.microsoft.com/office/drawing/2014/main" id="{11DFF7B9-46A5-06FB-B319-D8E5A35C9EE3}"/>
            </a:ext>
          </a:extLst>
        </xdr:cNvPr>
        <xdr:cNvSpPr txBox="1"/>
      </xdr:nvSpPr>
      <xdr:spPr>
        <a:xfrm>
          <a:off x="10263039" y="2055488"/>
          <a:ext cx="1296594" cy="756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lumMod val="75000"/>
                </a:schemeClr>
              </a:solidFill>
            </a:rPr>
            <a:t>Sousou</a:t>
          </a:r>
          <a:r>
            <a:rPr lang="en-US" sz="1000" baseline="0">
              <a:solidFill>
                <a:schemeClr val="bg1">
                  <a:lumMod val="75000"/>
                </a:schemeClr>
              </a:solidFill>
            </a:rPr>
            <a:t> no Frieren</a:t>
          </a:r>
          <a:endParaRPr lang="en-US" sz="1000">
            <a:solidFill>
              <a:schemeClr val="bg1">
                <a:lumMod val="75000"/>
              </a:schemeClr>
            </a:solidFill>
          </a:endParaRPr>
        </a:p>
        <a:p>
          <a:r>
            <a:rPr lang="en-US" sz="2400" b="1">
              <a:solidFill>
                <a:srgbClr val="F4FBFE"/>
              </a:solidFill>
            </a:rPr>
            <a:t>9.27</a:t>
          </a:r>
          <a:r>
            <a:rPr lang="en-US" sz="1000">
              <a:solidFill>
                <a:srgbClr val="F4FBFE"/>
              </a:solidFill>
            </a:rPr>
            <a:t>	</a:t>
          </a:r>
        </a:p>
      </xdr:txBody>
    </xdr:sp>
    <xdr:clientData/>
  </xdr:twoCellAnchor>
  <xdr:twoCellAnchor>
    <xdr:from>
      <xdr:col>1</xdr:col>
      <xdr:colOff>276225</xdr:colOff>
      <xdr:row>16</xdr:row>
      <xdr:rowOff>19049</xdr:rowOff>
    </xdr:from>
    <xdr:to>
      <xdr:col>5</xdr:col>
      <xdr:colOff>557893</xdr:colOff>
      <xdr:row>40</xdr:row>
      <xdr:rowOff>131885</xdr:rowOff>
    </xdr:to>
    <xdr:sp macro="" textlink="">
      <xdr:nvSpPr>
        <xdr:cNvPr id="58" name="Rectangle: Rounded Corners 28">
          <a:extLst>
            <a:ext uri="{FF2B5EF4-FFF2-40B4-BE49-F238E27FC236}">
              <a16:creationId xmlns:a16="http://schemas.microsoft.com/office/drawing/2014/main" id="{6E728EA3-E887-F5BE-5FA5-C4C3D7D333E8}"/>
            </a:ext>
          </a:extLst>
        </xdr:cNvPr>
        <xdr:cNvSpPr/>
      </xdr:nvSpPr>
      <xdr:spPr>
        <a:xfrm>
          <a:off x="884360" y="3067049"/>
          <a:ext cx="2714206" cy="4684836"/>
        </a:xfrm>
        <a:prstGeom prst="roundRect">
          <a:avLst/>
        </a:prstGeom>
        <a:no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161924</xdr:colOff>
      <xdr:row>16</xdr:row>
      <xdr:rowOff>38100</xdr:rowOff>
    </xdr:from>
    <xdr:to>
      <xdr:col>12</xdr:col>
      <xdr:colOff>523875</xdr:colOff>
      <xdr:row>30</xdr:row>
      <xdr:rowOff>47625</xdr:rowOff>
    </xdr:to>
    <xdr:sp macro="" textlink="">
      <xdr:nvSpPr>
        <xdr:cNvPr id="31" name="Rectangle: Rounded Corners 30">
          <a:extLst>
            <a:ext uri="{FF2B5EF4-FFF2-40B4-BE49-F238E27FC236}">
              <a16:creationId xmlns:a16="http://schemas.microsoft.com/office/drawing/2014/main" id="{97588201-27E1-0306-6F82-641E655FAEDF}"/>
            </a:ext>
          </a:extLst>
        </xdr:cNvPr>
        <xdr:cNvSpPr/>
      </xdr:nvSpPr>
      <xdr:spPr>
        <a:xfrm>
          <a:off x="3819524" y="3086100"/>
          <a:ext cx="4019551" cy="2676525"/>
        </a:xfrm>
        <a:prstGeom prst="roundRect">
          <a:avLst/>
        </a:prstGeom>
        <a:solidFill>
          <a:srgbClr val="1E1A47">
            <a:alpha val="65098"/>
          </a:srgbClr>
        </a:solidFill>
        <a:ln w="12700">
          <a:solidFill>
            <a:srgbClr val="F4FBFE">
              <a:alpha val="6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234763</xdr:colOff>
      <xdr:row>16</xdr:row>
      <xdr:rowOff>53788</xdr:rowOff>
    </xdr:from>
    <xdr:to>
      <xdr:col>19</xdr:col>
      <xdr:colOff>592230</xdr:colOff>
      <xdr:row>30</xdr:row>
      <xdr:rowOff>63313</xdr:rowOff>
    </xdr:to>
    <xdr:sp macro="" textlink="">
      <xdr:nvSpPr>
        <xdr:cNvPr id="32" name="Rectangle: Rounded Corners 31">
          <a:extLst>
            <a:ext uri="{FF2B5EF4-FFF2-40B4-BE49-F238E27FC236}">
              <a16:creationId xmlns:a16="http://schemas.microsoft.com/office/drawing/2014/main" id="{F3D3A84D-5A51-19BF-4AEB-578D5AFDF09F}"/>
            </a:ext>
          </a:extLst>
        </xdr:cNvPr>
        <xdr:cNvSpPr/>
      </xdr:nvSpPr>
      <xdr:spPr>
        <a:xfrm>
          <a:off x="8101292" y="3101788"/>
          <a:ext cx="3988173" cy="2676525"/>
        </a:xfrm>
        <a:prstGeom prst="roundRect">
          <a:avLst/>
        </a:prstGeom>
        <a:solidFill>
          <a:srgbClr val="1E1A47">
            <a:alpha val="65098"/>
          </a:srgbClr>
        </a:solid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282575</xdr:colOff>
      <xdr:row>16</xdr:row>
      <xdr:rowOff>161925</xdr:rowOff>
    </xdr:from>
    <xdr:to>
      <xdr:col>9</xdr:col>
      <xdr:colOff>606425</xdr:colOff>
      <xdr:row>18</xdr:row>
      <xdr:rowOff>174625</xdr:rowOff>
    </xdr:to>
    <xdr:sp macro="" textlink="">
      <xdr:nvSpPr>
        <xdr:cNvPr id="33" name="TextBox 32">
          <a:extLst>
            <a:ext uri="{FF2B5EF4-FFF2-40B4-BE49-F238E27FC236}">
              <a16:creationId xmlns:a16="http://schemas.microsoft.com/office/drawing/2014/main" id="{67035FBD-B413-641F-9713-CCDBDE2CE206}"/>
            </a:ext>
          </a:extLst>
        </xdr:cNvPr>
        <xdr:cNvSpPr txBox="1"/>
      </xdr:nvSpPr>
      <xdr:spPr>
        <a:xfrm>
          <a:off x="3940175" y="3209925"/>
          <a:ext cx="215265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a:t>🏆</a:t>
          </a:r>
          <a:r>
            <a:rPr lang="en-US" sz="1100"/>
            <a:t> </a:t>
          </a:r>
          <a:r>
            <a:rPr lang="en-US" sz="1400">
              <a:solidFill>
                <a:schemeClr val="bg1"/>
              </a:solidFill>
            </a:rPr>
            <a:t>Top Anime by Rating</a:t>
          </a:r>
        </a:p>
      </xdr:txBody>
    </xdr:sp>
    <xdr:clientData/>
  </xdr:twoCellAnchor>
  <xdr:twoCellAnchor>
    <xdr:from>
      <xdr:col>5</xdr:col>
      <xdr:colOff>157975</xdr:colOff>
      <xdr:row>11</xdr:row>
      <xdr:rowOff>111512</xdr:rowOff>
    </xdr:from>
    <xdr:to>
      <xdr:col>7</xdr:col>
      <xdr:colOff>51109</xdr:colOff>
      <xdr:row>13</xdr:row>
      <xdr:rowOff>181207</xdr:rowOff>
    </xdr:to>
    <xdr:sp macro="" textlink="PivotTable1!B65">
      <xdr:nvSpPr>
        <xdr:cNvPr id="34" name="TextBox 33">
          <a:extLst>
            <a:ext uri="{FF2B5EF4-FFF2-40B4-BE49-F238E27FC236}">
              <a16:creationId xmlns:a16="http://schemas.microsoft.com/office/drawing/2014/main" id="{CB3BC77B-34B9-8C68-68B4-EDCDD28C7F9E}"/>
            </a:ext>
          </a:extLst>
        </xdr:cNvPr>
        <xdr:cNvSpPr txBox="1"/>
      </xdr:nvSpPr>
      <xdr:spPr>
        <a:xfrm>
          <a:off x="3201329" y="2207012"/>
          <a:ext cx="1110475" cy="450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79862ED-196A-456C-B44B-9C2D8FEA0708}" type="TxLink">
            <a:rPr lang="en-US" sz="2400" b="1" i="0" u="none" strike="noStrike">
              <a:solidFill>
                <a:schemeClr val="bg1"/>
              </a:solidFill>
              <a:latin typeface="Aptos Narrow"/>
            </a:rPr>
            <a:pPr/>
            <a:t>7.13</a:t>
          </a:fld>
          <a:endParaRPr lang="en-US" sz="2400" b="1">
            <a:solidFill>
              <a:schemeClr val="bg1"/>
            </a:solidFill>
            <a:latin typeface="Aptos Narrow (Body)"/>
          </a:endParaRPr>
        </a:p>
      </xdr:txBody>
    </xdr:sp>
    <xdr:clientData/>
  </xdr:twoCellAnchor>
  <xdr:twoCellAnchor>
    <xdr:from>
      <xdr:col>14</xdr:col>
      <xdr:colOff>24919</xdr:colOff>
      <xdr:row>18</xdr:row>
      <xdr:rowOff>180983</xdr:rowOff>
    </xdr:from>
    <xdr:to>
      <xdr:col>19</xdr:col>
      <xdr:colOff>164425</xdr:colOff>
      <xdr:row>30</xdr:row>
      <xdr:rowOff>58184</xdr:rowOff>
    </xdr:to>
    <xdr:graphicFrame macro="">
      <xdr:nvGraphicFramePr>
        <xdr:cNvPr id="17" name="Chart 16">
          <a:extLst>
            <a:ext uri="{FF2B5EF4-FFF2-40B4-BE49-F238E27FC236}">
              <a16:creationId xmlns:a16="http://schemas.microsoft.com/office/drawing/2014/main" id="{8A0D107D-0E99-4344-8CD5-FCBBBFDAA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558220</xdr:colOff>
      <xdr:row>17</xdr:row>
      <xdr:rowOff>64094</xdr:rowOff>
    </xdr:from>
    <xdr:to>
      <xdr:col>14</xdr:col>
      <xdr:colOff>185572</xdr:colOff>
      <xdr:row>18</xdr:row>
      <xdr:rowOff>110907</xdr:rowOff>
    </xdr:to>
    <xdr:pic>
      <xdr:nvPicPr>
        <xdr:cNvPr id="18" name="Picture 17">
          <a:extLst>
            <a:ext uri="{FF2B5EF4-FFF2-40B4-BE49-F238E27FC236}">
              <a16:creationId xmlns:a16="http://schemas.microsoft.com/office/drawing/2014/main" id="{E44956DC-B847-79CB-000A-AB046E508413}"/>
            </a:ext>
          </a:extLst>
        </xdr:cNvPr>
        <xdr:cNvPicPr>
          <a:picLocks noChangeAspect="1"/>
        </xdr:cNvPicPr>
      </xdr:nvPicPr>
      <xdr:blipFill>
        <a:blip xmlns:r="http://schemas.openxmlformats.org/officeDocument/2006/relationships" r:embed="rId8"/>
        <a:stretch>
          <a:fillRect/>
        </a:stretch>
      </xdr:blipFill>
      <xdr:spPr>
        <a:xfrm>
          <a:off x="8483020" y="3302594"/>
          <a:ext cx="236952" cy="237313"/>
        </a:xfrm>
        <a:prstGeom prst="rect">
          <a:avLst/>
        </a:prstGeom>
      </xdr:spPr>
    </xdr:pic>
    <xdr:clientData/>
  </xdr:twoCellAnchor>
  <xdr:twoCellAnchor>
    <xdr:from>
      <xdr:col>14</xdr:col>
      <xdr:colOff>142875</xdr:colOff>
      <xdr:row>17</xdr:row>
      <xdr:rowOff>1565</xdr:rowOff>
    </xdr:from>
    <xdr:to>
      <xdr:col>17</xdr:col>
      <xdr:colOff>111046</xdr:colOff>
      <xdr:row>19</xdr:row>
      <xdr:rowOff>14265</xdr:rowOff>
    </xdr:to>
    <xdr:sp macro="" textlink="">
      <xdr:nvSpPr>
        <xdr:cNvPr id="22" name="TextBox 21">
          <a:extLst>
            <a:ext uri="{FF2B5EF4-FFF2-40B4-BE49-F238E27FC236}">
              <a16:creationId xmlns:a16="http://schemas.microsoft.com/office/drawing/2014/main" id="{6AF76365-7245-9690-5351-AB70F4B22A4C}"/>
            </a:ext>
          </a:extLst>
        </xdr:cNvPr>
        <xdr:cNvSpPr txBox="1"/>
      </xdr:nvSpPr>
      <xdr:spPr>
        <a:xfrm>
          <a:off x="8677275" y="3240065"/>
          <a:ext cx="1796971"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aseline="0"/>
            <a:t>  </a:t>
          </a:r>
          <a:r>
            <a:rPr lang="en-US" sz="1400">
              <a:solidFill>
                <a:schemeClr val="bg1"/>
              </a:solidFill>
            </a:rPr>
            <a:t>Popularity by Genre</a:t>
          </a:r>
        </a:p>
      </xdr:txBody>
    </xdr:sp>
    <xdr:clientData/>
  </xdr:twoCellAnchor>
  <xdr:twoCellAnchor>
    <xdr:from>
      <xdr:col>6</xdr:col>
      <xdr:colOff>173130</xdr:colOff>
      <xdr:row>31</xdr:row>
      <xdr:rowOff>116542</xdr:rowOff>
    </xdr:from>
    <xdr:to>
      <xdr:col>12</xdr:col>
      <xdr:colOff>535081</xdr:colOff>
      <xdr:row>45</xdr:row>
      <xdr:rowOff>126067</xdr:rowOff>
    </xdr:to>
    <xdr:sp macro="" textlink="">
      <xdr:nvSpPr>
        <xdr:cNvPr id="36" name="Rectangle: Rounded Corners 35">
          <a:extLst>
            <a:ext uri="{FF2B5EF4-FFF2-40B4-BE49-F238E27FC236}">
              <a16:creationId xmlns:a16="http://schemas.microsoft.com/office/drawing/2014/main" id="{16021C56-F641-4367-6BC1-3C16E6A16CC1}"/>
            </a:ext>
          </a:extLst>
        </xdr:cNvPr>
        <xdr:cNvSpPr/>
      </xdr:nvSpPr>
      <xdr:spPr>
        <a:xfrm>
          <a:off x="3821938" y="6022042"/>
          <a:ext cx="4010758" cy="2676525"/>
        </a:xfrm>
        <a:prstGeom prst="roundRect">
          <a:avLst/>
        </a:prstGeom>
        <a:solidFill>
          <a:srgbClr val="1E1A47">
            <a:alpha val="64706"/>
          </a:srgbClr>
        </a:solidFill>
        <a:ln w="12700">
          <a:solidFill>
            <a:srgbClr val="F4FBFE">
              <a:alpha val="6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461595</xdr:colOff>
      <xdr:row>32</xdr:row>
      <xdr:rowOff>64521</xdr:rowOff>
    </xdr:from>
    <xdr:to>
      <xdr:col>9</xdr:col>
      <xdr:colOff>576686</xdr:colOff>
      <xdr:row>34</xdr:row>
      <xdr:rowOff>77221</xdr:rowOff>
    </xdr:to>
    <xdr:sp macro="" textlink="">
      <xdr:nvSpPr>
        <xdr:cNvPr id="38" name="TextBox 37">
          <a:extLst>
            <a:ext uri="{FF2B5EF4-FFF2-40B4-BE49-F238E27FC236}">
              <a16:creationId xmlns:a16="http://schemas.microsoft.com/office/drawing/2014/main" id="{E77E9622-2383-EC3F-45DC-3FD429A713F7}"/>
            </a:ext>
          </a:extLst>
        </xdr:cNvPr>
        <xdr:cNvSpPr txBox="1"/>
      </xdr:nvSpPr>
      <xdr:spPr>
        <a:xfrm>
          <a:off x="4110403" y="6160521"/>
          <a:ext cx="1939495"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aseline="0"/>
            <a:t>             </a:t>
          </a:r>
          <a:r>
            <a:rPr lang="en-US" sz="1400">
              <a:solidFill>
                <a:schemeClr val="bg1"/>
              </a:solidFill>
            </a:rPr>
            <a:t>Genre Distribution</a:t>
          </a:r>
        </a:p>
      </xdr:txBody>
    </xdr:sp>
    <xdr:clientData/>
  </xdr:twoCellAnchor>
  <xdr:twoCellAnchor>
    <xdr:from>
      <xdr:col>7</xdr:col>
      <xdr:colOff>120248</xdr:colOff>
      <xdr:row>34</xdr:row>
      <xdr:rowOff>109904</xdr:rowOff>
    </xdr:from>
    <xdr:to>
      <xdr:col>12</xdr:col>
      <xdr:colOff>102577</xdr:colOff>
      <xdr:row>45</xdr:row>
      <xdr:rowOff>102577</xdr:rowOff>
    </xdr:to>
    <xdr:graphicFrame macro="">
      <xdr:nvGraphicFramePr>
        <xdr:cNvPr id="39" name="Chart 38">
          <a:extLst>
            <a:ext uri="{FF2B5EF4-FFF2-40B4-BE49-F238E27FC236}">
              <a16:creationId xmlns:a16="http://schemas.microsoft.com/office/drawing/2014/main" id="{8F6DCE82-922A-4001-A114-CBCBE2A861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468924</xdr:colOff>
      <xdr:row>32</xdr:row>
      <xdr:rowOff>124559</xdr:rowOff>
    </xdr:from>
    <xdr:to>
      <xdr:col>7</xdr:col>
      <xdr:colOff>146538</xdr:colOff>
      <xdr:row>34</xdr:row>
      <xdr:rowOff>29307</xdr:rowOff>
    </xdr:to>
    <xdr:pic>
      <xdr:nvPicPr>
        <xdr:cNvPr id="41" name="Picture 40">
          <a:extLst>
            <a:ext uri="{FF2B5EF4-FFF2-40B4-BE49-F238E27FC236}">
              <a16:creationId xmlns:a16="http://schemas.microsoft.com/office/drawing/2014/main" id="{0560B3C4-C87D-0561-2EF1-6AEF98BD330E}"/>
            </a:ext>
          </a:extLst>
        </xdr:cNvPr>
        <xdr:cNvPicPr>
          <a:picLocks noChangeAspect="1"/>
        </xdr:cNvPicPr>
      </xdr:nvPicPr>
      <xdr:blipFill>
        <a:blip xmlns:r="http://schemas.openxmlformats.org/officeDocument/2006/relationships" r:embed="rId10"/>
        <a:stretch>
          <a:fillRect/>
        </a:stretch>
      </xdr:blipFill>
      <xdr:spPr>
        <a:xfrm>
          <a:off x="4117732" y="6220559"/>
          <a:ext cx="285748" cy="285748"/>
        </a:xfrm>
        <a:prstGeom prst="rect">
          <a:avLst/>
        </a:prstGeom>
      </xdr:spPr>
    </xdr:pic>
    <xdr:clientData/>
  </xdr:twoCellAnchor>
  <xdr:twoCellAnchor>
    <xdr:from>
      <xdr:col>6</xdr:col>
      <xdr:colOff>563216</xdr:colOff>
      <xdr:row>18</xdr:row>
      <xdr:rowOff>123265</xdr:rowOff>
    </xdr:from>
    <xdr:to>
      <xdr:col>12</xdr:col>
      <xdr:colOff>257735</xdr:colOff>
      <xdr:row>30</xdr:row>
      <xdr:rowOff>10060</xdr:rowOff>
    </xdr:to>
    <xdr:graphicFrame macro="">
      <xdr:nvGraphicFramePr>
        <xdr:cNvPr id="30" name="Chart 29">
          <a:extLst>
            <a:ext uri="{FF2B5EF4-FFF2-40B4-BE49-F238E27FC236}">
              <a16:creationId xmlns:a16="http://schemas.microsoft.com/office/drawing/2014/main" id="{6890BB56-0CBD-4C9D-838B-FA3D9412DE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285751</xdr:colOff>
      <xdr:row>11</xdr:row>
      <xdr:rowOff>102577</xdr:rowOff>
    </xdr:from>
    <xdr:to>
      <xdr:col>2</xdr:col>
      <xdr:colOff>337040</xdr:colOff>
      <xdr:row>13</xdr:row>
      <xdr:rowOff>65943</xdr:rowOff>
    </xdr:to>
    <xdr:sp macro="" textlink="PivotTable1!B69">
      <xdr:nvSpPr>
        <xdr:cNvPr id="40" name="TextBox 39">
          <a:extLst>
            <a:ext uri="{FF2B5EF4-FFF2-40B4-BE49-F238E27FC236}">
              <a16:creationId xmlns:a16="http://schemas.microsoft.com/office/drawing/2014/main" id="{35233834-8888-081F-4DB2-8140A168DC2E}"/>
            </a:ext>
          </a:extLst>
        </xdr:cNvPr>
        <xdr:cNvSpPr txBox="1"/>
      </xdr:nvSpPr>
      <xdr:spPr>
        <a:xfrm>
          <a:off x="893886" y="2198077"/>
          <a:ext cx="659423" cy="344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A8FCF7-8D9D-4412-A841-17F508477A8F}" type="TxLink">
            <a:rPr lang="en-US" sz="2400" b="1" i="0" u="none" strike="noStrike">
              <a:solidFill>
                <a:schemeClr val="bg1"/>
              </a:solidFill>
              <a:latin typeface="Aptos Narrow"/>
            </a:rPr>
            <a:pPr/>
            <a:t>623</a:t>
          </a:fld>
          <a:endParaRPr lang="en-US" sz="2400" b="1">
            <a:solidFill>
              <a:schemeClr val="bg1"/>
            </a:solidFill>
          </a:endParaRPr>
        </a:p>
      </xdr:txBody>
    </xdr:sp>
    <xdr:clientData/>
  </xdr:twoCellAnchor>
  <xdr:twoCellAnchor>
    <xdr:from>
      <xdr:col>12</xdr:col>
      <xdr:colOff>600808</xdr:colOff>
      <xdr:row>11</xdr:row>
      <xdr:rowOff>153866</xdr:rowOff>
    </xdr:from>
    <xdr:to>
      <xdr:col>14</xdr:col>
      <xdr:colOff>95250</xdr:colOff>
      <xdr:row>14</xdr:row>
      <xdr:rowOff>21982</xdr:rowOff>
    </xdr:to>
    <xdr:sp macro="" textlink="PivotTable1!C73">
      <xdr:nvSpPr>
        <xdr:cNvPr id="42" name="TextBox 41">
          <a:extLst>
            <a:ext uri="{FF2B5EF4-FFF2-40B4-BE49-F238E27FC236}">
              <a16:creationId xmlns:a16="http://schemas.microsoft.com/office/drawing/2014/main" id="{47091896-435D-AB4D-161F-79AD40979283}"/>
            </a:ext>
          </a:extLst>
        </xdr:cNvPr>
        <xdr:cNvSpPr txBox="1"/>
      </xdr:nvSpPr>
      <xdr:spPr>
        <a:xfrm>
          <a:off x="7898423" y="2249366"/>
          <a:ext cx="710712" cy="439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E1E998-8E90-47B5-972B-B437418FEA08}" type="TxLink">
            <a:rPr lang="en-US" sz="2400" b="1" i="0" u="none" strike="noStrike">
              <a:solidFill>
                <a:schemeClr val="bg1"/>
              </a:solidFill>
              <a:latin typeface="Aptos Narrow"/>
            </a:rPr>
            <a:pPr/>
            <a:t>268</a:t>
          </a:fld>
          <a:endParaRPr lang="en-US" sz="2400" b="1">
            <a:solidFill>
              <a:schemeClr val="bg1"/>
            </a:solidFill>
          </a:endParaRPr>
        </a:p>
      </xdr:txBody>
    </xdr:sp>
    <xdr:clientData/>
  </xdr:twoCellAnchor>
  <xdr:twoCellAnchor>
    <xdr:from>
      <xdr:col>13</xdr:col>
      <xdr:colOff>262776</xdr:colOff>
      <xdr:row>31</xdr:row>
      <xdr:rowOff>138954</xdr:rowOff>
    </xdr:from>
    <xdr:to>
      <xdr:col>19</xdr:col>
      <xdr:colOff>624727</xdr:colOff>
      <xdr:row>45</xdr:row>
      <xdr:rowOff>148479</xdr:rowOff>
    </xdr:to>
    <xdr:sp macro="" textlink="">
      <xdr:nvSpPr>
        <xdr:cNvPr id="35" name="Rectangle: Rounded Corners 34">
          <a:extLst>
            <a:ext uri="{FF2B5EF4-FFF2-40B4-BE49-F238E27FC236}">
              <a16:creationId xmlns:a16="http://schemas.microsoft.com/office/drawing/2014/main" id="{3CBDE740-F81C-28F5-F41C-5B345934D927}"/>
            </a:ext>
          </a:extLst>
        </xdr:cNvPr>
        <xdr:cNvSpPr/>
      </xdr:nvSpPr>
      <xdr:spPr>
        <a:xfrm>
          <a:off x="9149041" y="5697072"/>
          <a:ext cx="4463304" cy="2519642"/>
        </a:xfrm>
        <a:prstGeom prst="roundRect">
          <a:avLst/>
        </a:prstGeom>
        <a:solidFill>
          <a:srgbClr val="1E1A47">
            <a:alpha val="64706"/>
          </a:srgbClr>
        </a:solidFill>
        <a:ln w="12700">
          <a:solidFill>
            <a:srgbClr val="F4FBFE">
              <a:alpha val="6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551240</xdr:colOff>
      <xdr:row>32</xdr:row>
      <xdr:rowOff>86933</xdr:rowOff>
    </xdr:from>
    <xdr:to>
      <xdr:col>18</xdr:col>
      <xdr:colOff>78440</xdr:colOff>
      <xdr:row>34</xdr:row>
      <xdr:rowOff>99633</xdr:rowOff>
    </xdr:to>
    <xdr:sp macro="" textlink="">
      <xdr:nvSpPr>
        <xdr:cNvPr id="37" name="TextBox 36">
          <a:extLst>
            <a:ext uri="{FF2B5EF4-FFF2-40B4-BE49-F238E27FC236}">
              <a16:creationId xmlns:a16="http://schemas.microsoft.com/office/drawing/2014/main" id="{D1E1F5E4-7A8A-0415-9FCD-60D3C3CCB893}"/>
            </a:ext>
          </a:extLst>
        </xdr:cNvPr>
        <xdr:cNvSpPr txBox="1"/>
      </xdr:nvSpPr>
      <xdr:spPr>
        <a:xfrm>
          <a:off x="8417769" y="6182933"/>
          <a:ext cx="2552789"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aseline="0"/>
            <a:t>          </a:t>
          </a:r>
          <a:r>
            <a:rPr lang="en-US" sz="1400">
              <a:solidFill>
                <a:schemeClr val="bg1"/>
              </a:solidFill>
            </a:rPr>
            <a:t>By Season Popularity &amp;</a:t>
          </a:r>
          <a:r>
            <a:rPr lang="en-US" sz="1400" baseline="0">
              <a:solidFill>
                <a:schemeClr val="bg1"/>
              </a:solidFill>
            </a:rPr>
            <a:t> Rating</a:t>
          </a:r>
          <a:endParaRPr lang="en-US" sz="1400">
            <a:solidFill>
              <a:schemeClr val="bg1"/>
            </a:solidFill>
          </a:endParaRPr>
        </a:p>
      </xdr:txBody>
    </xdr:sp>
    <xdr:clientData/>
  </xdr:twoCellAnchor>
  <xdr:twoCellAnchor>
    <xdr:from>
      <xdr:col>13</xdr:col>
      <xdr:colOff>672354</xdr:colOff>
      <xdr:row>34</xdr:row>
      <xdr:rowOff>89648</xdr:rowOff>
    </xdr:from>
    <xdr:to>
      <xdr:col>19</xdr:col>
      <xdr:colOff>369795</xdr:colOff>
      <xdr:row>45</xdr:row>
      <xdr:rowOff>67237</xdr:rowOff>
    </xdr:to>
    <xdr:graphicFrame macro="">
      <xdr:nvGraphicFramePr>
        <xdr:cNvPr id="28" name="Chart 27">
          <a:extLst>
            <a:ext uri="{FF2B5EF4-FFF2-40B4-BE49-F238E27FC236}">
              <a16:creationId xmlns:a16="http://schemas.microsoft.com/office/drawing/2014/main" id="{AFEEF049-76F4-4030-88FE-4ACA089A2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137919</xdr:colOff>
      <xdr:row>47</xdr:row>
      <xdr:rowOff>75818</xdr:rowOff>
    </xdr:from>
    <xdr:to>
      <xdr:col>20</xdr:col>
      <xdr:colOff>11078</xdr:colOff>
      <xdr:row>54</xdr:row>
      <xdr:rowOff>108948</xdr:rowOff>
    </xdr:to>
    <xdr:sp macro="" textlink="">
      <xdr:nvSpPr>
        <xdr:cNvPr id="43" name="Rectangle: Rounded Corners 42">
          <a:extLst>
            <a:ext uri="{FF2B5EF4-FFF2-40B4-BE49-F238E27FC236}">
              <a16:creationId xmlns:a16="http://schemas.microsoft.com/office/drawing/2014/main" id="{B82FAF6D-83FE-C453-4FBA-E12572F67A98}"/>
            </a:ext>
            <a:ext uri="{147F2762-F138-4A5C-976F-8EAC2B608ADB}">
              <a16:predDERef xmlns:a16="http://schemas.microsoft.com/office/drawing/2014/main" pred="{8C2D828D-BF51-CCC6-D400-D9DF75A8AB95}"/>
            </a:ext>
          </a:extLst>
        </xdr:cNvPr>
        <xdr:cNvSpPr/>
      </xdr:nvSpPr>
      <xdr:spPr>
        <a:xfrm>
          <a:off x="3786727" y="9029318"/>
          <a:ext cx="8387043" cy="1366630"/>
        </a:xfrm>
        <a:prstGeom prst="roundRect">
          <a:avLst/>
        </a:prstGeom>
        <a:solidFill>
          <a:srgbClr val="1E1A47">
            <a:alpha val="64706"/>
          </a:srgbClr>
        </a:solidFill>
        <a:ln w="12700">
          <a:solidFill>
            <a:srgbClr val="F4FBF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lvl="0" indent="0" algn="l"/>
          <a:r>
            <a:rPr lang="en-US" sz="2000">
              <a:solidFill>
                <a:schemeClr val="lt1"/>
              </a:solidFill>
              <a:latin typeface="+mn-lt"/>
              <a:ea typeface="+mn-lt"/>
              <a:cs typeface="+mn-lt"/>
            </a:rPr>
            <a:t>   </a:t>
          </a:r>
          <a:endParaRPr lang="en-US" sz="2400" b="1">
            <a:gradFill>
              <a:gsLst>
                <a:gs pos="0">
                  <a:srgbClr val="D54CB8"/>
                </a:gs>
                <a:gs pos="35000">
                  <a:srgbClr val="B053EB"/>
                </a:gs>
                <a:gs pos="100000">
                  <a:srgbClr val="7861F3"/>
                </a:gs>
              </a:gsLst>
              <a:lin ang="2700000" scaled="1"/>
            </a:gradFill>
            <a:latin typeface="+mn-lt"/>
            <a:ea typeface="+mn-lt"/>
            <a:cs typeface="+mn-lt"/>
          </a:endParaRPr>
        </a:p>
      </xdr:txBody>
    </xdr:sp>
    <xdr:clientData/>
  </xdr:twoCellAnchor>
  <xdr:twoCellAnchor>
    <xdr:from>
      <xdr:col>6</xdr:col>
      <xdr:colOff>279696</xdr:colOff>
      <xdr:row>49</xdr:row>
      <xdr:rowOff>108948</xdr:rowOff>
    </xdr:from>
    <xdr:to>
      <xdr:col>9</xdr:col>
      <xdr:colOff>412218</xdr:colOff>
      <xdr:row>53</xdr:row>
      <xdr:rowOff>158644</xdr:rowOff>
    </xdr:to>
    <xdr:sp macro="" textlink="">
      <xdr:nvSpPr>
        <xdr:cNvPr id="44" name="Rectangle: Rounded Corners 43">
          <a:extLst>
            <a:ext uri="{FF2B5EF4-FFF2-40B4-BE49-F238E27FC236}">
              <a16:creationId xmlns:a16="http://schemas.microsoft.com/office/drawing/2014/main" id="{0732BA01-DB8A-E654-9861-3823246E6A11}"/>
            </a:ext>
          </a:extLst>
        </xdr:cNvPr>
        <xdr:cNvSpPr/>
      </xdr:nvSpPr>
      <xdr:spPr>
        <a:xfrm>
          <a:off x="3928504" y="9443448"/>
          <a:ext cx="1956926" cy="811696"/>
        </a:xfrm>
        <a:prstGeom prst="roundRect">
          <a:avLst/>
        </a:prstGeom>
        <a:solidFill>
          <a:srgbClr val="F371B5">
            <a:alpha val="2470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511609</xdr:colOff>
      <xdr:row>49</xdr:row>
      <xdr:rowOff>125514</xdr:rowOff>
    </xdr:from>
    <xdr:to>
      <xdr:col>13</xdr:col>
      <xdr:colOff>31217</xdr:colOff>
      <xdr:row>53</xdr:row>
      <xdr:rowOff>175210</xdr:rowOff>
    </xdr:to>
    <xdr:sp macro="" textlink="">
      <xdr:nvSpPr>
        <xdr:cNvPr id="45" name="Rectangle: Rounded Corners 44">
          <a:extLst>
            <a:ext uri="{FF2B5EF4-FFF2-40B4-BE49-F238E27FC236}">
              <a16:creationId xmlns:a16="http://schemas.microsoft.com/office/drawing/2014/main" id="{80D35FD4-94A6-F42C-599E-272F5C05E6FD}"/>
            </a:ext>
          </a:extLst>
        </xdr:cNvPr>
        <xdr:cNvSpPr/>
      </xdr:nvSpPr>
      <xdr:spPr>
        <a:xfrm>
          <a:off x="5984821" y="9460014"/>
          <a:ext cx="1952146" cy="811696"/>
        </a:xfrm>
        <a:prstGeom prst="roundRect">
          <a:avLst/>
        </a:prstGeom>
        <a:solidFill>
          <a:srgbClr val="22C1DF">
            <a:alpha val="2470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130608</xdr:colOff>
      <xdr:row>49</xdr:row>
      <xdr:rowOff>133795</xdr:rowOff>
    </xdr:from>
    <xdr:to>
      <xdr:col>16</xdr:col>
      <xdr:colOff>263130</xdr:colOff>
      <xdr:row>53</xdr:row>
      <xdr:rowOff>183491</xdr:rowOff>
    </xdr:to>
    <xdr:sp macro="" textlink="">
      <xdr:nvSpPr>
        <xdr:cNvPr id="46" name="Rectangle: Rounded Corners 45">
          <a:extLst>
            <a:ext uri="{FF2B5EF4-FFF2-40B4-BE49-F238E27FC236}">
              <a16:creationId xmlns:a16="http://schemas.microsoft.com/office/drawing/2014/main" id="{35677A37-E5BD-4200-C0F9-933A31F3014E}"/>
            </a:ext>
          </a:extLst>
        </xdr:cNvPr>
        <xdr:cNvSpPr/>
      </xdr:nvSpPr>
      <xdr:spPr>
        <a:xfrm>
          <a:off x="8036358" y="9468295"/>
          <a:ext cx="1956926" cy="811696"/>
        </a:xfrm>
        <a:prstGeom prst="roundRect">
          <a:avLst/>
        </a:prstGeom>
        <a:solidFill>
          <a:srgbClr val="34D399">
            <a:alpha val="2509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354239</xdr:colOff>
      <xdr:row>49</xdr:row>
      <xdr:rowOff>142078</xdr:rowOff>
    </xdr:from>
    <xdr:to>
      <xdr:col>19</xdr:col>
      <xdr:colOff>486761</xdr:colOff>
      <xdr:row>54</xdr:row>
      <xdr:rowOff>1274</xdr:rowOff>
    </xdr:to>
    <xdr:sp macro="" textlink="">
      <xdr:nvSpPr>
        <xdr:cNvPr id="47" name="Rectangle: Rounded Corners 46">
          <a:extLst>
            <a:ext uri="{FF2B5EF4-FFF2-40B4-BE49-F238E27FC236}">
              <a16:creationId xmlns:a16="http://schemas.microsoft.com/office/drawing/2014/main" id="{08F28676-D440-50CF-A790-AD488D385BBA}"/>
            </a:ext>
          </a:extLst>
        </xdr:cNvPr>
        <xdr:cNvSpPr/>
      </xdr:nvSpPr>
      <xdr:spPr>
        <a:xfrm>
          <a:off x="10084393" y="9476578"/>
          <a:ext cx="1956926" cy="811696"/>
        </a:xfrm>
        <a:prstGeom prst="roundRect">
          <a:avLst/>
        </a:prstGeom>
        <a:solidFill>
          <a:srgbClr val="F87171">
            <a:alpha val="2509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375602</xdr:colOff>
      <xdr:row>49</xdr:row>
      <xdr:rowOff>172376</xdr:rowOff>
    </xdr:from>
    <xdr:to>
      <xdr:col>9</xdr:col>
      <xdr:colOff>64787</xdr:colOff>
      <xdr:row>53</xdr:row>
      <xdr:rowOff>147310</xdr:rowOff>
    </xdr:to>
    <xdr:sp macro="" textlink="">
      <xdr:nvSpPr>
        <xdr:cNvPr id="48" name="TextBox 47">
          <a:extLst>
            <a:ext uri="{FF2B5EF4-FFF2-40B4-BE49-F238E27FC236}">
              <a16:creationId xmlns:a16="http://schemas.microsoft.com/office/drawing/2014/main" id="{69430435-D079-1C3D-62FE-EF2F347BC6F6}"/>
            </a:ext>
          </a:extLst>
        </xdr:cNvPr>
        <xdr:cNvSpPr txBox="1"/>
      </xdr:nvSpPr>
      <xdr:spPr>
        <a:xfrm>
          <a:off x="4024410" y="9506876"/>
          <a:ext cx="1513589" cy="736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rgbClr val="F9B9DB"/>
              </a:solidFill>
            </a:rPr>
            <a:t>TOP</a:t>
          </a:r>
          <a:r>
            <a:rPr lang="en-US" sz="900" baseline="0">
              <a:solidFill>
                <a:srgbClr val="F9B9DB"/>
              </a:solidFill>
            </a:rPr>
            <a:t> PERFORMER</a:t>
          </a:r>
        </a:p>
        <a:p>
          <a:r>
            <a:rPr lang="en-US" sz="1400">
              <a:solidFill>
                <a:schemeClr val="bg1"/>
              </a:solidFill>
            </a:rPr>
            <a:t>Sousou no Frieren</a:t>
          </a:r>
        </a:p>
        <a:p>
          <a:r>
            <a:rPr lang="en-US" sz="1600" b="1">
              <a:solidFill>
                <a:srgbClr val="F371B5"/>
              </a:solidFill>
            </a:rPr>
            <a:t>9.27 </a:t>
          </a:r>
          <a:r>
            <a:rPr lang="en-US" sz="1600" b="1">
              <a:solidFill>
                <a:schemeClr val="bg2">
                  <a:lumMod val="10000"/>
                </a:schemeClr>
              </a:solidFill>
            </a:rPr>
            <a:t>⭐</a:t>
          </a:r>
        </a:p>
      </xdr:txBody>
    </xdr:sp>
    <xdr:clientData/>
  </xdr:twoCellAnchor>
  <xdr:twoCellAnchor>
    <xdr:from>
      <xdr:col>9</xdr:col>
      <xdr:colOff>580337</xdr:colOff>
      <xdr:row>49</xdr:row>
      <xdr:rowOff>178330</xdr:rowOff>
    </xdr:from>
    <xdr:to>
      <xdr:col>12</xdr:col>
      <xdr:colOff>269521</xdr:colOff>
      <xdr:row>53</xdr:row>
      <xdr:rowOff>153264</xdr:rowOff>
    </xdr:to>
    <xdr:sp macro="" textlink="">
      <xdr:nvSpPr>
        <xdr:cNvPr id="49" name="TextBox 48">
          <a:extLst>
            <a:ext uri="{FF2B5EF4-FFF2-40B4-BE49-F238E27FC236}">
              <a16:creationId xmlns:a16="http://schemas.microsoft.com/office/drawing/2014/main" id="{39DD38C6-27E4-3A7B-A3AD-84CA15AF6AFE}"/>
            </a:ext>
          </a:extLst>
        </xdr:cNvPr>
        <xdr:cNvSpPr txBox="1"/>
      </xdr:nvSpPr>
      <xdr:spPr>
        <a:xfrm>
          <a:off x="6053549" y="9512830"/>
          <a:ext cx="1513587" cy="736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aseline="0">
              <a:solidFill>
                <a:srgbClr val="B9EBF5"/>
              </a:solidFill>
            </a:rPr>
            <a:t>MOST POPULAR</a:t>
          </a:r>
        </a:p>
        <a:p>
          <a:r>
            <a:rPr lang="en-US" sz="1400">
              <a:solidFill>
                <a:schemeClr val="bg1"/>
              </a:solidFill>
            </a:rPr>
            <a:t>Attack</a:t>
          </a:r>
          <a:r>
            <a:rPr lang="en-US" sz="1400" baseline="0">
              <a:solidFill>
                <a:schemeClr val="bg1"/>
              </a:solidFill>
            </a:rPr>
            <a:t> on Titan</a:t>
          </a:r>
          <a:endParaRPr lang="en-US" sz="1400">
            <a:solidFill>
              <a:schemeClr val="bg1"/>
            </a:solidFill>
          </a:endParaRPr>
        </a:p>
        <a:p>
          <a:r>
            <a:rPr lang="en-US" sz="1600" b="1">
              <a:solidFill>
                <a:srgbClr val="22C1DF"/>
              </a:solidFill>
            </a:rPr>
            <a:t>2.3M members </a:t>
          </a:r>
        </a:p>
      </xdr:txBody>
    </xdr:sp>
    <xdr:clientData/>
  </xdr:twoCellAnchor>
  <xdr:twoCellAnchor>
    <xdr:from>
      <xdr:col>13</xdr:col>
      <xdr:colOff>235056</xdr:colOff>
      <xdr:row>50</xdr:row>
      <xdr:rowOff>11643</xdr:rowOff>
    </xdr:from>
    <xdr:to>
      <xdr:col>15</xdr:col>
      <xdr:colOff>531459</xdr:colOff>
      <xdr:row>53</xdr:row>
      <xdr:rowOff>177077</xdr:rowOff>
    </xdr:to>
    <xdr:sp macro="" textlink="">
      <xdr:nvSpPr>
        <xdr:cNvPr id="50" name="TextBox 49">
          <a:extLst>
            <a:ext uri="{FF2B5EF4-FFF2-40B4-BE49-F238E27FC236}">
              <a16:creationId xmlns:a16="http://schemas.microsoft.com/office/drawing/2014/main" id="{73A51F38-E0A8-7DB7-9856-7582F2853D7C}"/>
            </a:ext>
          </a:extLst>
        </xdr:cNvPr>
        <xdr:cNvSpPr txBox="1"/>
      </xdr:nvSpPr>
      <xdr:spPr>
        <a:xfrm>
          <a:off x="8140806" y="9536643"/>
          <a:ext cx="1512672" cy="736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aseline="0">
              <a:solidFill>
                <a:srgbClr val="C1F1E0"/>
              </a:solidFill>
            </a:rPr>
            <a:t>TRENDING GENRE</a:t>
          </a:r>
        </a:p>
        <a:p>
          <a:r>
            <a:rPr lang="en-US" sz="1400">
              <a:solidFill>
                <a:schemeClr val="bg1"/>
              </a:solidFill>
            </a:rPr>
            <a:t>Action</a:t>
          </a:r>
        </a:p>
        <a:p>
          <a:r>
            <a:rPr lang="en-US" sz="1600" b="1">
              <a:solidFill>
                <a:srgbClr val="34D399"/>
              </a:solidFill>
            </a:rPr>
            <a:t>268 titles </a:t>
          </a:r>
        </a:p>
      </xdr:txBody>
    </xdr:sp>
    <xdr:clientData/>
  </xdr:twoCellAnchor>
  <xdr:twoCellAnchor>
    <xdr:from>
      <xdr:col>16</xdr:col>
      <xdr:colOff>458080</xdr:colOff>
      <xdr:row>50</xdr:row>
      <xdr:rowOff>2350</xdr:rowOff>
    </xdr:from>
    <xdr:to>
      <xdr:col>19</xdr:col>
      <xdr:colOff>145812</xdr:colOff>
      <xdr:row>53</xdr:row>
      <xdr:rowOff>167784</xdr:rowOff>
    </xdr:to>
    <xdr:sp macro="" textlink="">
      <xdr:nvSpPr>
        <xdr:cNvPr id="51" name="TextBox 50">
          <a:extLst>
            <a:ext uri="{FF2B5EF4-FFF2-40B4-BE49-F238E27FC236}">
              <a16:creationId xmlns:a16="http://schemas.microsoft.com/office/drawing/2014/main" id="{A2A2F37D-EC19-993E-026B-CE74959BBAA1}"/>
            </a:ext>
          </a:extLst>
        </xdr:cNvPr>
        <xdr:cNvSpPr txBox="1"/>
      </xdr:nvSpPr>
      <xdr:spPr>
        <a:xfrm>
          <a:off x="10188234" y="9527350"/>
          <a:ext cx="1512136" cy="736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aseline="0">
              <a:solidFill>
                <a:srgbClr val="FAA4A4"/>
              </a:solidFill>
            </a:rPr>
            <a:t>PEAK YEAR </a:t>
          </a:r>
        </a:p>
        <a:p>
          <a:r>
            <a:rPr lang="en-US" sz="1400">
              <a:solidFill>
                <a:schemeClr val="bg1"/>
              </a:solidFill>
            </a:rPr>
            <a:t>2026 Projection</a:t>
          </a:r>
          <a:r>
            <a:rPr lang="en-US" sz="1400" baseline="0">
              <a:solidFill>
                <a:schemeClr val="bg1"/>
              </a:solidFill>
            </a:rPr>
            <a:t> </a:t>
          </a:r>
          <a:endParaRPr lang="en-US" sz="1400">
            <a:solidFill>
              <a:schemeClr val="bg1"/>
            </a:solidFill>
          </a:endParaRPr>
        </a:p>
        <a:p>
          <a:r>
            <a:rPr lang="en-US" sz="1600" b="1">
              <a:solidFill>
                <a:srgbClr val="F87171"/>
              </a:solidFill>
            </a:rPr>
            <a:t>100 anime</a:t>
          </a:r>
          <a:r>
            <a:rPr lang="en-US" sz="1600" b="1" baseline="0">
              <a:solidFill>
                <a:srgbClr val="F87171"/>
              </a:solidFill>
            </a:rPr>
            <a:t> </a:t>
          </a:r>
          <a:r>
            <a:rPr lang="en-US" sz="1600" b="1">
              <a:solidFill>
                <a:srgbClr val="F87171"/>
              </a:solidFill>
            </a:rPr>
            <a:t> </a:t>
          </a:r>
        </a:p>
      </xdr:txBody>
    </xdr:sp>
    <xdr:clientData/>
  </xdr:twoCellAnchor>
  <xdr:twoCellAnchor>
    <xdr:from>
      <xdr:col>6</xdr:col>
      <xdr:colOff>139464</xdr:colOff>
      <xdr:row>47</xdr:row>
      <xdr:rowOff>156645</xdr:rowOff>
    </xdr:from>
    <xdr:to>
      <xdr:col>8</xdr:col>
      <xdr:colOff>454775</xdr:colOff>
      <xdr:row>49</xdr:row>
      <xdr:rowOff>12128</xdr:rowOff>
    </xdr:to>
    <xdr:sp macro="" textlink="">
      <xdr:nvSpPr>
        <xdr:cNvPr id="52" name="TextBox 51">
          <a:extLst>
            <a:ext uri="{FF2B5EF4-FFF2-40B4-BE49-F238E27FC236}">
              <a16:creationId xmlns:a16="http://schemas.microsoft.com/office/drawing/2014/main" id="{A2674F8E-AC1C-4E83-E3B6-051A13089437}"/>
            </a:ext>
          </a:extLst>
        </xdr:cNvPr>
        <xdr:cNvSpPr txBox="1"/>
      </xdr:nvSpPr>
      <xdr:spPr>
        <a:xfrm>
          <a:off x="3788272" y="9110145"/>
          <a:ext cx="1531580" cy="236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a:t>
          </a:r>
          <a:r>
            <a:rPr lang="en-US" sz="1100" b="1">
              <a:solidFill>
                <a:schemeClr val="bg1"/>
              </a:solidFill>
            </a:rPr>
            <a:t>Key</a:t>
          </a:r>
          <a:r>
            <a:rPr lang="en-US" sz="1100" b="1" baseline="0">
              <a:solidFill>
                <a:schemeClr val="bg1"/>
              </a:solidFill>
            </a:rPr>
            <a:t> Insights</a:t>
          </a:r>
          <a:endParaRPr lang="en-US" sz="1100" b="1">
            <a:solidFill>
              <a:schemeClr val="bg1"/>
            </a:solidFill>
          </a:endParaRPr>
        </a:p>
      </xdr:txBody>
    </xdr:sp>
    <xdr:clientData/>
  </xdr:twoCellAnchor>
  <xdr:twoCellAnchor editAs="oneCell">
    <xdr:from>
      <xdr:col>1</xdr:col>
      <xdr:colOff>433581</xdr:colOff>
      <xdr:row>19</xdr:row>
      <xdr:rowOff>48272</xdr:rowOff>
    </xdr:from>
    <xdr:to>
      <xdr:col>5</xdr:col>
      <xdr:colOff>359622</xdr:colOff>
      <xdr:row>30</xdr:row>
      <xdr:rowOff>59479</xdr:rowOff>
    </xdr:to>
    <mc:AlternateContent xmlns:mc="http://schemas.openxmlformats.org/markup-compatibility/2006" xmlns:a14="http://schemas.microsoft.com/office/drawing/2010/main">
      <mc:Choice Requires="a14">
        <xdr:graphicFrame macro="">
          <xdr:nvGraphicFramePr>
            <xdr:cNvPr id="57" name="Year 1">
              <a:extLst>
                <a:ext uri="{FF2B5EF4-FFF2-40B4-BE49-F238E27FC236}">
                  <a16:creationId xmlns:a16="http://schemas.microsoft.com/office/drawing/2014/main" id="{7FEC1CF1-C0DB-449A-888A-A80DFEE5011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45902" y="3667772"/>
              <a:ext cx="2375327" cy="21067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440908</xdr:colOff>
      <xdr:row>31</xdr:row>
      <xdr:rowOff>37582</xdr:rowOff>
    </xdr:from>
    <xdr:to>
      <xdr:col>5</xdr:col>
      <xdr:colOff>373674</xdr:colOff>
      <xdr:row>39</xdr:row>
      <xdr:rowOff>45086</xdr:rowOff>
    </xdr:to>
    <mc:AlternateContent xmlns:mc="http://schemas.openxmlformats.org/markup-compatibility/2006" xmlns:a14="http://schemas.microsoft.com/office/drawing/2010/main">
      <mc:Choice Requires="a14">
        <xdr:graphicFrame macro="">
          <xdr:nvGraphicFramePr>
            <xdr:cNvPr id="59" name="Season 1">
              <a:extLst>
                <a:ext uri="{FF2B5EF4-FFF2-40B4-BE49-F238E27FC236}">
                  <a16:creationId xmlns:a16="http://schemas.microsoft.com/office/drawing/2014/main" id="{820F3803-72A0-41DF-8D90-38E0359C2898}"/>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053229" y="5943082"/>
              <a:ext cx="2382052" cy="1531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373240</xdr:colOff>
      <xdr:row>16</xdr:row>
      <xdr:rowOff>158606</xdr:rowOff>
    </xdr:from>
    <xdr:to>
      <xdr:col>3</xdr:col>
      <xdr:colOff>586153</xdr:colOff>
      <xdr:row>18</xdr:row>
      <xdr:rowOff>124989</xdr:rowOff>
    </xdr:to>
    <xdr:sp macro="" textlink="">
      <xdr:nvSpPr>
        <xdr:cNvPr id="60" name="TextBox 59">
          <a:extLst>
            <a:ext uri="{FF2B5EF4-FFF2-40B4-BE49-F238E27FC236}">
              <a16:creationId xmlns:a16="http://schemas.microsoft.com/office/drawing/2014/main" id="{A31E5E14-69CA-B14A-6B78-37103D7FE4C5}"/>
            </a:ext>
          </a:extLst>
        </xdr:cNvPr>
        <xdr:cNvSpPr txBox="1"/>
      </xdr:nvSpPr>
      <xdr:spPr>
        <a:xfrm>
          <a:off x="981375" y="3206606"/>
          <a:ext cx="1429182" cy="347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FILTERS</a:t>
          </a:r>
        </a:p>
      </xdr:txBody>
    </xdr:sp>
    <xdr:clientData/>
  </xdr:twoCellAnchor>
  <xdr:twoCellAnchor>
    <xdr:from>
      <xdr:col>1</xdr:col>
      <xdr:colOff>375870</xdr:colOff>
      <xdr:row>42</xdr:row>
      <xdr:rowOff>14654</xdr:rowOff>
    </xdr:from>
    <xdr:to>
      <xdr:col>5</xdr:col>
      <xdr:colOff>476982</xdr:colOff>
      <xdr:row>47</xdr:row>
      <xdr:rowOff>167054</xdr:rowOff>
    </xdr:to>
    <xdr:sp macro="" textlink="">
      <xdr:nvSpPr>
        <xdr:cNvPr id="29" name="Rectangle: Rounded Corners 28">
          <a:extLst>
            <a:ext uri="{FF2B5EF4-FFF2-40B4-BE49-F238E27FC236}">
              <a16:creationId xmlns:a16="http://schemas.microsoft.com/office/drawing/2014/main" id="{934D86CD-9AB9-4330-9175-B14DDAB7E70A}"/>
            </a:ext>
          </a:extLst>
        </xdr:cNvPr>
        <xdr:cNvSpPr/>
      </xdr:nvSpPr>
      <xdr:spPr>
        <a:xfrm>
          <a:off x="984005" y="8015654"/>
          <a:ext cx="2533650" cy="1104900"/>
        </a:xfrm>
        <a:prstGeom prst="roundRect">
          <a:avLst/>
        </a:prstGeom>
        <a:solidFill>
          <a:srgbClr val="B6EFFC">
            <a:alpha val="65098"/>
          </a:srgbClr>
        </a:solid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366345</xdr:colOff>
      <xdr:row>48</xdr:row>
      <xdr:rowOff>138479</xdr:rowOff>
    </xdr:from>
    <xdr:to>
      <xdr:col>5</xdr:col>
      <xdr:colOff>467457</xdr:colOff>
      <xdr:row>54</xdr:row>
      <xdr:rowOff>100379</xdr:rowOff>
    </xdr:to>
    <xdr:sp macro="" textlink="">
      <xdr:nvSpPr>
        <xdr:cNvPr id="53" name="Rectangle: Rounded Corners 52">
          <a:hlinkClick xmlns:r="http://schemas.openxmlformats.org/officeDocument/2006/relationships" r:id="rId13"/>
          <a:extLst>
            <a:ext uri="{FF2B5EF4-FFF2-40B4-BE49-F238E27FC236}">
              <a16:creationId xmlns:a16="http://schemas.microsoft.com/office/drawing/2014/main" id="{ACCDAF01-F16A-40FF-B70D-ED398DE3062A}"/>
            </a:ext>
          </a:extLst>
        </xdr:cNvPr>
        <xdr:cNvSpPr/>
      </xdr:nvSpPr>
      <xdr:spPr>
        <a:xfrm>
          <a:off x="974480" y="9282479"/>
          <a:ext cx="2533650" cy="1104900"/>
        </a:xfrm>
        <a:prstGeom prst="roundRect">
          <a:avLst/>
        </a:prstGeom>
        <a:solidFill>
          <a:srgbClr val="B6EFFC"/>
        </a:solid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424960</xdr:colOff>
      <xdr:row>43</xdr:row>
      <xdr:rowOff>14654</xdr:rowOff>
    </xdr:from>
    <xdr:to>
      <xdr:col>4</xdr:col>
      <xdr:colOff>542192</xdr:colOff>
      <xdr:row>47</xdr:row>
      <xdr:rowOff>5129</xdr:rowOff>
    </xdr:to>
    <xdr:sp macro="" textlink="">
      <xdr:nvSpPr>
        <xdr:cNvPr id="54" name="TextBox 53">
          <a:extLst>
            <a:ext uri="{FF2B5EF4-FFF2-40B4-BE49-F238E27FC236}">
              <a16:creationId xmlns:a16="http://schemas.microsoft.com/office/drawing/2014/main" id="{A3D95D33-0228-4A7D-9BE0-3EA46A44688B}"/>
            </a:ext>
          </a:extLst>
        </xdr:cNvPr>
        <xdr:cNvSpPr txBox="1"/>
      </xdr:nvSpPr>
      <xdr:spPr>
        <a:xfrm>
          <a:off x="1641229" y="8206154"/>
          <a:ext cx="1333501" cy="752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GENRE WISE </a:t>
          </a:r>
        </a:p>
      </xdr:txBody>
    </xdr:sp>
    <xdr:clientData/>
  </xdr:twoCellAnchor>
  <xdr:twoCellAnchor>
    <xdr:from>
      <xdr:col>2</xdr:col>
      <xdr:colOff>377335</xdr:colOff>
      <xdr:row>49</xdr:row>
      <xdr:rowOff>138479</xdr:rowOff>
    </xdr:from>
    <xdr:to>
      <xdr:col>4</xdr:col>
      <xdr:colOff>551717</xdr:colOff>
      <xdr:row>53</xdr:row>
      <xdr:rowOff>128954</xdr:rowOff>
    </xdr:to>
    <xdr:sp macro="" textlink="">
      <xdr:nvSpPr>
        <xdr:cNvPr id="55" name="TextBox 54">
          <a:hlinkClick xmlns:r="http://schemas.openxmlformats.org/officeDocument/2006/relationships" r:id="rId13"/>
          <a:extLst>
            <a:ext uri="{FF2B5EF4-FFF2-40B4-BE49-F238E27FC236}">
              <a16:creationId xmlns:a16="http://schemas.microsoft.com/office/drawing/2014/main" id="{587E5E5A-A158-47E5-B79D-1662F932D019}"/>
            </a:ext>
          </a:extLst>
        </xdr:cNvPr>
        <xdr:cNvSpPr txBox="1"/>
      </xdr:nvSpPr>
      <xdr:spPr>
        <a:xfrm>
          <a:off x="1593604" y="9472979"/>
          <a:ext cx="1390651" cy="752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gradFill>
                <a:gsLst>
                  <a:gs pos="0">
                    <a:schemeClr val="tx1">
                      <a:lumMod val="95000"/>
                      <a:lumOff val="5000"/>
                    </a:schemeClr>
                  </a:gs>
                  <a:gs pos="45000">
                    <a:srgbClr val="1F1B45"/>
                  </a:gs>
                  <a:gs pos="100000">
                    <a:srgbClr val="1F1B45"/>
                  </a:gs>
                </a:gsLst>
                <a:lin ang="2700000" scaled="1"/>
              </a:gradFill>
            </a:rPr>
            <a:t>PLATFORM WISE </a:t>
          </a:r>
        </a:p>
      </xdr:txBody>
    </xdr:sp>
    <xdr:clientData/>
  </xdr:twoCellAnchor>
  <xdr:twoCellAnchor editAs="oneCell">
    <xdr:from>
      <xdr:col>13</xdr:col>
      <xdr:colOff>536204</xdr:colOff>
      <xdr:row>32</xdr:row>
      <xdr:rowOff>127748</xdr:rowOff>
    </xdr:from>
    <xdr:to>
      <xdr:col>14</xdr:col>
      <xdr:colOff>238126</xdr:colOff>
      <xdr:row>34</xdr:row>
      <xdr:rowOff>56099</xdr:rowOff>
    </xdr:to>
    <xdr:pic>
      <xdr:nvPicPr>
        <xdr:cNvPr id="56" name="Picture 55">
          <a:extLst>
            <a:ext uri="{FF2B5EF4-FFF2-40B4-BE49-F238E27FC236}">
              <a16:creationId xmlns:a16="http://schemas.microsoft.com/office/drawing/2014/main" id="{095CF36E-0F80-BAE7-1B32-AE933ED5A3BB}"/>
            </a:ext>
          </a:extLst>
        </xdr:cNvPr>
        <xdr:cNvPicPr>
          <a:picLocks noChangeAspect="1"/>
        </xdr:cNvPicPr>
      </xdr:nvPicPr>
      <xdr:blipFill>
        <a:blip xmlns:r="http://schemas.openxmlformats.org/officeDocument/2006/relationships" r:embed="rId14"/>
        <a:stretch>
          <a:fillRect/>
        </a:stretch>
      </xdr:blipFill>
      <xdr:spPr>
        <a:xfrm>
          <a:off x="8461004" y="6223748"/>
          <a:ext cx="311522" cy="309351"/>
        </a:xfrm>
        <a:prstGeom prst="rect">
          <a:avLst/>
        </a:prstGeom>
      </xdr:spPr>
    </xdr:pic>
    <xdr:clientData/>
  </xdr:twoCellAnchor>
  <xdr:twoCellAnchor editAs="oneCell">
    <xdr:from>
      <xdr:col>18</xdr:col>
      <xdr:colOff>342544</xdr:colOff>
      <xdr:row>2</xdr:row>
      <xdr:rowOff>176893</xdr:rowOff>
    </xdr:from>
    <xdr:to>
      <xdr:col>19</xdr:col>
      <xdr:colOff>396319</xdr:colOff>
      <xdr:row>4</xdr:row>
      <xdr:rowOff>4071</xdr:rowOff>
    </xdr:to>
    <xdr:pic>
      <xdr:nvPicPr>
        <xdr:cNvPr id="61" name="Picture 60">
          <a:extLst>
            <a:ext uri="{FF2B5EF4-FFF2-40B4-BE49-F238E27FC236}">
              <a16:creationId xmlns:a16="http://schemas.microsoft.com/office/drawing/2014/main" id="{8A443CF9-D21C-4BE2-8D9D-3CB5B21A6FE7}"/>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1374979" y="557893"/>
          <a:ext cx="666688" cy="20817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593059</xdr:colOff>
      <xdr:row>0</xdr:row>
      <xdr:rowOff>33826</xdr:rowOff>
    </xdr:from>
    <xdr:to>
      <xdr:col>20</xdr:col>
      <xdr:colOff>276225</xdr:colOff>
      <xdr:row>56</xdr:row>
      <xdr:rowOff>89648</xdr:rowOff>
    </xdr:to>
    <xdr:sp macro="" textlink="">
      <xdr:nvSpPr>
        <xdr:cNvPr id="2" name="Rectangle 1">
          <a:extLst>
            <a:ext uri="{FF2B5EF4-FFF2-40B4-BE49-F238E27FC236}">
              <a16:creationId xmlns:a16="http://schemas.microsoft.com/office/drawing/2014/main" id="{54BD0609-F162-4795-A286-824E5961DD6F}"/>
            </a:ext>
          </a:extLst>
        </xdr:cNvPr>
        <xdr:cNvSpPr/>
      </xdr:nvSpPr>
      <xdr:spPr>
        <a:xfrm>
          <a:off x="593059" y="33826"/>
          <a:ext cx="11785519" cy="10723822"/>
        </a:xfrm>
        <a:prstGeom prst="rect">
          <a:avLst/>
        </a:prstGeom>
        <a:gradFill flip="none" rotWithShape="1">
          <a:gsLst>
            <a:gs pos="0">
              <a:schemeClr val="tx1">
                <a:lumMod val="95000"/>
                <a:lumOff val="5000"/>
              </a:schemeClr>
            </a:gs>
            <a:gs pos="35000">
              <a:srgbClr val="1F1B45"/>
            </a:gs>
            <a:gs pos="100000">
              <a:srgbClr val="1F1B45"/>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182879</xdr:colOff>
      <xdr:row>0</xdr:row>
      <xdr:rowOff>144780</xdr:rowOff>
    </xdr:from>
    <xdr:to>
      <xdr:col>20</xdr:col>
      <xdr:colOff>66675</xdr:colOff>
      <xdr:row>6</xdr:row>
      <xdr:rowOff>91440</xdr:rowOff>
    </xdr:to>
    <xdr:sp macro="" textlink="">
      <xdr:nvSpPr>
        <xdr:cNvPr id="3" name="Rectangle: Rounded Corners 2">
          <a:extLst>
            <a:ext uri="{FF2B5EF4-FFF2-40B4-BE49-F238E27FC236}">
              <a16:creationId xmlns:a16="http://schemas.microsoft.com/office/drawing/2014/main" id="{D6534A1C-A44D-4F6C-91F4-A9BEE4305313}"/>
            </a:ext>
            <a:ext uri="{147F2762-F138-4A5C-976F-8EAC2B608ADB}">
              <a16:predDERef xmlns:a16="http://schemas.microsoft.com/office/drawing/2014/main" pred="{8C2D828D-BF51-CCC6-D400-D9DF75A8AB95}"/>
            </a:ext>
          </a:extLst>
        </xdr:cNvPr>
        <xdr:cNvSpPr/>
      </xdr:nvSpPr>
      <xdr:spPr>
        <a:xfrm>
          <a:off x="792479" y="144780"/>
          <a:ext cx="11466196" cy="1043940"/>
        </a:xfrm>
        <a:prstGeom prst="roundRect">
          <a:avLst/>
        </a:prstGeom>
        <a:solidFill>
          <a:srgbClr val="1E1A47">
            <a:alpha val="64706"/>
          </a:srgbClr>
        </a:solidFill>
        <a:ln w="127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lvl="0" indent="0" algn="l"/>
          <a:r>
            <a:rPr lang="en-US" sz="2000">
              <a:solidFill>
                <a:schemeClr val="lt1"/>
              </a:solidFill>
              <a:latin typeface="+mn-lt"/>
              <a:ea typeface="+mn-lt"/>
              <a:cs typeface="+mn-lt"/>
            </a:rPr>
            <a:t>                </a:t>
          </a:r>
          <a:r>
            <a:rPr lang="en-US" sz="2400" b="1">
              <a:gradFill>
                <a:gsLst>
                  <a:gs pos="0">
                    <a:srgbClr val="D54CB8"/>
                  </a:gs>
                  <a:gs pos="35000">
                    <a:srgbClr val="B053EB"/>
                  </a:gs>
                  <a:gs pos="100000">
                    <a:srgbClr val="7861F3"/>
                  </a:gs>
                </a:gsLst>
                <a:lin ang="2700000" scaled="1"/>
              </a:gradFill>
              <a:latin typeface="+mn-lt"/>
              <a:ea typeface="+mn-lt"/>
              <a:cs typeface="+mn-lt"/>
            </a:rPr>
            <a:t>Anime</a:t>
          </a:r>
          <a:r>
            <a:rPr lang="en-US" sz="2400" b="1" baseline="0">
              <a:gradFill>
                <a:gsLst>
                  <a:gs pos="0">
                    <a:srgbClr val="D54CB8"/>
                  </a:gs>
                  <a:gs pos="35000">
                    <a:srgbClr val="B053EB"/>
                  </a:gs>
                  <a:gs pos="100000">
                    <a:srgbClr val="7861F3"/>
                  </a:gs>
                </a:gsLst>
                <a:lin ang="2700000" scaled="1"/>
              </a:gradFill>
              <a:latin typeface="+mn-lt"/>
              <a:ea typeface="+mn-lt"/>
              <a:cs typeface="+mn-lt"/>
            </a:rPr>
            <a:t> Popularity Analytics</a:t>
          </a:r>
          <a:endParaRPr lang="en-US" sz="2400" b="1">
            <a:gradFill>
              <a:gsLst>
                <a:gs pos="0">
                  <a:srgbClr val="D54CB8"/>
                </a:gs>
                <a:gs pos="35000">
                  <a:srgbClr val="B053EB"/>
                </a:gs>
                <a:gs pos="100000">
                  <a:srgbClr val="7861F3"/>
                </a:gs>
              </a:gsLst>
              <a:lin ang="2700000" scaled="1"/>
            </a:gradFill>
            <a:latin typeface="+mn-lt"/>
            <a:ea typeface="+mn-lt"/>
            <a:cs typeface="+mn-lt"/>
          </a:endParaRPr>
        </a:p>
      </xdr:txBody>
    </xdr:sp>
    <xdr:clientData/>
  </xdr:twoCellAnchor>
  <xdr:oneCellAnchor>
    <xdr:from>
      <xdr:col>1</xdr:col>
      <xdr:colOff>381000</xdr:colOff>
      <xdr:row>2</xdr:row>
      <xdr:rowOff>21684</xdr:rowOff>
    </xdr:from>
    <xdr:ext cx="508000" cy="527591"/>
    <xdr:pic>
      <xdr:nvPicPr>
        <xdr:cNvPr id="4" name="Picture 3">
          <a:extLst>
            <a:ext uri="{FF2B5EF4-FFF2-40B4-BE49-F238E27FC236}">
              <a16:creationId xmlns:a16="http://schemas.microsoft.com/office/drawing/2014/main" id="{E27D1B9B-EB3F-440D-BA95-F6BA8A5E9F63}"/>
            </a:ext>
            <a:ext uri="{147F2762-F138-4A5C-976F-8EAC2B608ADB}">
              <a16:predDERef xmlns:a16="http://schemas.microsoft.com/office/drawing/2014/main" pred="{327B9695-83FB-B0B6-E109-C0AA351219A3}"/>
            </a:ext>
          </a:extLst>
        </xdr:cNvPr>
        <xdr:cNvPicPr>
          <a:picLocks noChangeAspect="1"/>
        </xdr:cNvPicPr>
      </xdr:nvPicPr>
      <xdr:blipFill>
        <a:blip xmlns:r="http://schemas.openxmlformats.org/officeDocument/2006/relationships" r:embed="rId1"/>
        <a:stretch>
          <a:fillRect/>
        </a:stretch>
      </xdr:blipFill>
      <xdr:spPr>
        <a:xfrm>
          <a:off x="990600" y="387444"/>
          <a:ext cx="508000" cy="527591"/>
        </a:xfrm>
        <a:prstGeom prst="rect">
          <a:avLst/>
        </a:prstGeom>
        <a:ln>
          <a:noFill/>
        </a:ln>
        <a:effectLst>
          <a:outerShdw blurRad="107950" dist="12700" dir="5400000" algn="ctr">
            <a:srgbClr val="000000"/>
          </a:outerShdw>
          <a:softEdge rad="12700"/>
        </a:effectLst>
      </xdr:spPr>
    </xdr:pic>
    <xdr:clientData/>
  </xdr:oneCellAnchor>
  <xdr:twoCellAnchor>
    <xdr:from>
      <xdr:col>1</xdr:col>
      <xdr:colOff>175260</xdr:colOff>
      <xdr:row>7</xdr:row>
      <xdr:rowOff>129540</xdr:rowOff>
    </xdr:from>
    <xdr:to>
      <xdr:col>4</xdr:col>
      <xdr:colOff>448235</xdr:colOff>
      <xdr:row>14</xdr:row>
      <xdr:rowOff>76200</xdr:rowOff>
    </xdr:to>
    <xdr:sp macro="" textlink="">
      <xdr:nvSpPr>
        <xdr:cNvPr id="5" name="Rectangle: Rounded Corners 4">
          <a:extLst>
            <a:ext uri="{FF2B5EF4-FFF2-40B4-BE49-F238E27FC236}">
              <a16:creationId xmlns:a16="http://schemas.microsoft.com/office/drawing/2014/main" id="{F0AEA262-D4D2-429E-8811-3D62D6D82D7E}"/>
            </a:ext>
            <a:ext uri="{147F2762-F138-4A5C-976F-8EAC2B608ADB}">
              <a16:predDERef xmlns:a16="http://schemas.microsoft.com/office/drawing/2014/main" pred="{8C2D828D-BF51-CCC6-D400-D9DF75A8AB95}"/>
            </a:ext>
          </a:extLst>
        </xdr:cNvPr>
        <xdr:cNvSpPr/>
      </xdr:nvSpPr>
      <xdr:spPr>
        <a:xfrm>
          <a:off x="784860" y="1409700"/>
          <a:ext cx="2101775" cy="1226820"/>
        </a:xfrm>
        <a:prstGeom prst="roundRect">
          <a:avLst/>
        </a:prstGeom>
        <a:solidFill>
          <a:srgbClr val="1E1A47">
            <a:alpha val="65000"/>
          </a:srgbClr>
        </a:solidFill>
        <a:ln w="127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lvl="0" indent="0" algn="r"/>
          <a:r>
            <a:rPr lang="en-US" sz="1800" b="1">
              <a:gradFill>
                <a:gsLst>
                  <a:gs pos="0">
                    <a:srgbClr val="D54CB8"/>
                  </a:gs>
                  <a:gs pos="35000">
                    <a:srgbClr val="B053EB"/>
                  </a:gs>
                  <a:gs pos="100000">
                    <a:srgbClr val="7861F3"/>
                  </a:gs>
                </a:gsLst>
                <a:lin ang="2700000" scaled="1"/>
              </a:gradFill>
              <a:latin typeface="+mn-lt"/>
              <a:ea typeface="+mn-lt"/>
              <a:cs typeface="+mn-lt"/>
            </a:rPr>
            <a:t>	</a:t>
          </a:r>
        </a:p>
      </xdr:txBody>
    </xdr:sp>
    <xdr:clientData/>
  </xdr:twoCellAnchor>
  <xdr:twoCellAnchor>
    <xdr:from>
      <xdr:col>5</xdr:col>
      <xdr:colOff>70672</xdr:colOff>
      <xdr:row>7</xdr:row>
      <xdr:rowOff>144481</xdr:rowOff>
    </xdr:from>
    <xdr:to>
      <xdr:col>8</xdr:col>
      <xdr:colOff>343647</xdr:colOff>
      <xdr:row>14</xdr:row>
      <xdr:rowOff>91141</xdr:rowOff>
    </xdr:to>
    <xdr:sp macro="" textlink="">
      <xdr:nvSpPr>
        <xdr:cNvPr id="6" name="Rectangle: Rounded Corners 5">
          <a:extLst>
            <a:ext uri="{FF2B5EF4-FFF2-40B4-BE49-F238E27FC236}">
              <a16:creationId xmlns:a16="http://schemas.microsoft.com/office/drawing/2014/main" id="{5FEB44C3-8D61-412E-90A6-506A4DC6927A}"/>
            </a:ext>
            <a:ext uri="{147F2762-F138-4A5C-976F-8EAC2B608ADB}">
              <a16:predDERef xmlns:a16="http://schemas.microsoft.com/office/drawing/2014/main" pred="{8C2D828D-BF51-CCC6-D400-D9DF75A8AB95}"/>
            </a:ext>
          </a:extLst>
        </xdr:cNvPr>
        <xdr:cNvSpPr/>
      </xdr:nvSpPr>
      <xdr:spPr>
        <a:xfrm>
          <a:off x="3118672" y="1424641"/>
          <a:ext cx="2101775" cy="1226820"/>
        </a:xfrm>
        <a:prstGeom prst="roundRect">
          <a:avLst/>
        </a:prstGeom>
        <a:solidFill>
          <a:srgbClr val="1E1A47">
            <a:alpha val="65000"/>
          </a:srgbClr>
        </a:solidFill>
        <a:ln w="127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lvl="0" indent="0" algn="l"/>
          <a:endParaRPr lang="en-US" sz="1800" b="1">
            <a:gradFill>
              <a:gsLst>
                <a:gs pos="0">
                  <a:srgbClr val="D54CB8"/>
                </a:gs>
                <a:gs pos="35000">
                  <a:srgbClr val="B053EB"/>
                </a:gs>
                <a:gs pos="100000">
                  <a:srgbClr val="7861F3"/>
                </a:gs>
              </a:gsLst>
              <a:lin ang="2700000" scaled="1"/>
            </a:gradFill>
            <a:latin typeface="+mn-lt"/>
            <a:ea typeface="+mn-lt"/>
            <a:cs typeface="+mn-lt"/>
          </a:endParaRPr>
        </a:p>
      </xdr:txBody>
    </xdr:sp>
    <xdr:clientData/>
  </xdr:twoCellAnchor>
  <xdr:twoCellAnchor>
    <xdr:from>
      <xdr:col>8</xdr:col>
      <xdr:colOff>601084</xdr:colOff>
      <xdr:row>7</xdr:row>
      <xdr:rowOff>166892</xdr:rowOff>
    </xdr:from>
    <xdr:to>
      <xdr:col>12</xdr:col>
      <xdr:colOff>261471</xdr:colOff>
      <xdr:row>14</xdr:row>
      <xdr:rowOff>113552</xdr:rowOff>
    </xdr:to>
    <xdr:sp macro="" textlink="">
      <xdr:nvSpPr>
        <xdr:cNvPr id="7" name="Rectangle: Rounded Corners 6">
          <a:extLst>
            <a:ext uri="{FF2B5EF4-FFF2-40B4-BE49-F238E27FC236}">
              <a16:creationId xmlns:a16="http://schemas.microsoft.com/office/drawing/2014/main" id="{ACF06BDC-21F9-4012-A908-E6F5E52C4C55}"/>
            </a:ext>
            <a:ext uri="{147F2762-F138-4A5C-976F-8EAC2B608ADB}">
              <a16:predDERef xmlns:a16="http://schemas.microsoft.com/office/drawing/2014/main" pred="{8C2D828D-BF51-CCC6-D400-D9DF75A8AB95}"/>
            </a:ext>
          </a:extLst>
        </xdr:cNvPr>
        <xdr:cNvSpPr/>
      </xdr:nvSpPr>
      <xdr:spPr>
        <a:xfrm>
          <a:off x="5477884" y="1447052"/>
          <a:ext cx="2098787" cy="1226820"/>
        </a:xfrm>
        <a:prstGeom prst="roundRect">
          <a:avLst/>
        </a:prstGeom>
        <a:solidFill>
          <a:srgbClr val="1E1A47">
            <a:alpha val="65000"/>
          </a:srgbClr>
        </a:solidFill>
        <a:ln w="127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lvl="0" indent="0" algn="l"/>
          <a:endParaRPr lang="en-US" sz="1800" b="1">
            <a:gradFill>
              <a:gsLst>
                <a:gs pos="0">
                  <a:srgbClr val="D54CB8"/>
                </a:gs>
                <a:gs pos="35000">
                  <a:srgbClr val="B053EB"/>
                </a:gs>
                <a:gs pos="100000">
                  <a:srgbClr val="7861F3"/>
                </a:gs>
              </a:gsLst>
              <a:lin ang="2700000" scaled="1"/>
            </a:gradFill>
            <a:latin typeface="+mn-lt"/>
            <a:ea typeface="+mn-lt"/>
            <a:cs typeface="+mn-lt"/>
          </a:endParaRPr>
        </a:p>
      </xdr:txBody>
    </xdr:sp>
    <xdr:clientData/>
  </xdr:twoCellAnchor>
  <xdr:twoCellAnchor>
    <xdr:from>
      <xdr:col>12</xdr:col>
      <xdr:colOff>511438</xdr:colOff>
      <xdr:row>8</xdr:row>
      <xdr:rowOff>0</xdr:rowOff>
    </xdr:from>
    <xdr:to>
      <xdr:col>16</xdr:col>
      <xdr:colOff>171825</xdr:colOff>
      <xdr:row>14</xdr:row>
      <xdr:rowOff>150904</xdr:rowOff>
    </xdr:to>
    <xdr:sp macro="" textlink="">
      <xdr:nvSpPr>
        <xdr:cNvPr id="8" name="Rectangle: Rounded Corners 7">
          <a:extLst>
            <a:ext uri="{FF2B5EF4-FFF2-40B4-BE49-F238E27FC236}">
              <a16:creationId xmlns:a16="http://schemas.microsoft.com/office/drawing/2014/main" id="{1B8999B5-B72A-401E-A010-CD8CA092B3A6}"/>
            </a:ext>
            <a:ext uri="{147F2762-F138-4A5C-976F-8EAC2B608ADB}">
              <a16:predDERef xmlns:a16="http://schemas.microsoft.com/office/drawing/2014/main" pred="{8C2D828D-BF51-CCC6-D400-D9DF75A8AB95}"/>
            </a:ext>
          </a:extLst>
        </xdr:cNvPr>
        <xdr:cNvSpPr/>
      </xdr:nvSpPr>
      <xdr:spPr>
        <a:xfrm>
          <a:off x="7826638" y="1463040"/>
          <a:ext cx="2098787" cy="1248184"/>
        </a:xfrm>
        <a:prstGeom prst="roundRect">
          <a:avLst/>
        </a:prstGeom>
        <a:solidFill>
          <a:srgbClr val="1E1A47">
            <a:alpha val="65000"/>
          </a:srgbClr>
        </a:solidFill>
        <a:ln w="127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lvl="0" indent="0" algn="l"/>
          <a:endParaRPr lang="en-US" sz="1800" b="1">
            <a:gradFill>
              <a:gsLst>
                <a:gs pos="0">
                  <a:srgbClr val="D54CB8"/>
                </a:gs>
                <a:gs pos="35000">
                  <a:srgbClr val="B053EB"/>
                </a:gs>
                <a:gs pos="100000">
                  <a:srgbClr val="7861F3"/>
                </a:gs>
              </a:gsLst>
              <a:lin ang="2700000" scaled="1"/>
            </a:gradFill>
            <a:latin typeface="+mn-lt"/>
            <a:ea typeface="+mn-lt"/>
            <a:cs typeface="+mn-lt"/>
          </a:endParaRPr>
        </a:p>
      </xdr:txBody>
    </xdr:sp>
    <xdr:clientData/>
  </xdr:twoCellAnchor>
  <xdr:twoCellAnchor>
    <xdr:from>
      <xdr:col>16</xdr:col>
      <xdr:colOff>419177</xdr:colOff>
      <xdr:row>8</xdr:row>
      <xdr:rowOff>9525</xdr:rowOff>
    </xdr:from>
    <xdr:to>
      <xdr:col>20</xdr:col>
      <xdr:colOff>79564</xdr:colOff>
      <xdr:row>14</xdr:row>
      <xdr:rowOff>158374</xdr:rowOff>
    </xdr:to>
    <xdr:sp macro="" textlink="">
      <xdr:nvSpPr>
        <xdr:cNvPr id="9" name="Rectangle: Rounded Corners 8">
          <a:extLst>
            <a:ext uri="{FF2B5EF4-FFF2-40B4-BE49-F238E27FC236}">
              <a16:creationId xmlns:a16="http://schemas.microsoft.com/office/drawing/2014/main" id="{46EC105B-DC7E-426F-8364-1F5315A7D033}"/>
            </a:ext>
            <a:ext uri="{147F2762-F138-4A5C-976F-8EAC2B608ADB}">
              <a16:predDERef xmlns:a16="http://schemas.microsoft.com/office/drawing/2014/main" pred="{8C2D828D-BF51-CCC6-D400-D9DF75A8AB95}"/>
            </a:ext>
          </a:extLst>
        </xdr:cNvPr>
        <xdr:cNvSpPr/>
      </xdr:nvSpPr>
      <xdr:spPr>
        <a:xfrm>
          <a:off x="10172777" y="1472565"/>
          <a:ext cx="2098787" cy="1246129"/>
        </a:xfrm>
        <a:prstGeom prst="roundRect">
          <a:avLst/>
        </a:prstGeom>
        <a:solidFill>
          <a:srgbClr val="1E1A47">
            <a:alpha val="65000"/>
          </a:srgbClr>
        </a:solidFill>
        <a:ln w="127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lvl="0" indent="0" algn="l"/>
          <a:endParaRPr lang="en-US" sz="1800" b="1">
            <a:gradFill>
              <a:gsLst>
                <a:gs pos="0">
                  <a:srgbClr val="D54CB8"/>
                </a:gs>
                <a:gs pos="35000">
                  <a:srgbClr val="B053EB"/>
                </a:gs>
                <a:gs pos="100000">
                  <a:srgbClr val="7861F3"/>
                </a:gs>
              </a:gsLst>
              <a:lin ang="2700000" scaled="1"/>
            </a:gradFill>
            <a:latin typeface="+mn-lt"/>
            <a:ea typeface="+mn-lt"/>
            <a:cs typeface="+mn-lt"/>
          </a:endParaRPr>
        </a:p>
      </xdr:txBody>
    </xdr:sp>
    <xdr:clientData/>
  </xdr:twoCellAnchor>
  <xdr:oneCellAnchor>
    <xdr:from>
      <xdr:col>1</xdr:col>
      <xdr:colOff>371475</xdr:colOff>
      <xdr:row>8</xdr:row>
      <xdr:rowOff>123825</xdr:rowOff>
    </xdr:from>
    <xdr:ext cx="323850" cy="327660"/>
    <xdr:pic>
      <xdr:nvPicPr>
        <xdr:cNvPr id="10" name="Picture 9">
          <a:extLst>
            <a:ext uri="{FF2B5EF4-FFF2-40B4-BE49-F238E27FC236}">
              <a16:creationId xmlns:a16="http://schemas.microsoft.com/office/drawing/2014/main" id="{16924029-5726-4258-8119-7534B56939B7}"/>
            </a:ext>
            <a:ext uri="{147F2762-F138-4A5C-976F-8EAC2B608ADB}">
              <a16:predDERef xmlns:a16="http://schemas.microsoft.com/office/drawing/2014/main" pred="{41843217-B7B2-78B8-DCBB-39EE06295695}"/>
            </a:ext>
          </a:extLst>
        </xdr:cNvPr>
        <xdr:cNvPicPr>
          <a:picLocks noChangeAspect="1"/>
        </xdr:cNvPicPr>
      </xdr:nvPicPr>
      <xdr:blipFill>
        <a:blip xmlns:r="http://schemas.openxmlformats.org/officeDocument/2006/relationships" r:embed="rId2"/>
        <a:stretch>
          <a:fillRect/>
        </a:stretch>
      </xdr:blipFill>
      <xdr:spPr>
        <a:xfrm>
          <a:off x="981075" y="1586865"/>
          <a:ext cx="323850" cy="327660"/>
        </a:xfrm>
        <a:prstGeom prst="rect">
          <a:avLst/>
        </a:prstGeom>
      </xdr:spPr>
    </xdr:pic>
    <xdr:clientData/>
  </xdr:oneCellAnchor>
  <xdr:oneCellAnchor>
    <xdr:from>
      <xdr:col>5</xdr:col>
      <xdr:colOff>257175</xdr:colOff>
      <xdr:row>8</xdr:row>
      <xdr:rowOff>133350</xdr:rowOff>
    </xdr:from>
    <xdr:ext cx="333375" cy="337185"/>
    <xdr:pic>
      <xdr:nvPicPr>
        <xdr:cNvPr id="11" name="Picture 10">
          <a:extLst>
            <a:ext uri="{FF2B5EF4-FFF2-40B4-BE49-F238E27FC236}">
              <a16:creationId xmlns:a16="http://schemas.microsoft.com/office/drawing/2014/main" id="{E424F86A-9C21-4DE8-A6E9-6F28F36D17E1}"/>
            </a:ext>
            <a:ext uri="{147F2762-F138-4A5C-976F-8EAC2B608ADB}">
              <a16:predDERef xmlns:a16="http://schemas.microsoft.com/office/drawing/2014/main" pred="{31FC9A95-060B-52E4-5F8D-B04C73F4446D}"/>
            </a:ext>
          </a:extLst>
        </xdr:cNvPr>
        <xdr:cNvPicPr>
          <a:picLocks noChangeAspect="1"/>
        </xdr:cNvPicPr>
      </xdr:nvPicPr>
      <xdr:blipFill>
        <a:blip xmlns:r="http://schemas.openxmlformats.org/officeDocument/2006/relationships" r:embed="rId3"/>
        <a:stretch>
          <a:fillRect/>
        </a:stretch>
      </xdr:blipFill>
      <xdr:spPr>
        <a:xfrm>
          <a:off x="3305175" y="1596390"/>
          <a:ext cx="333375" cy="337185"/>
        </a:xfrm>
        <a:prstGeom prst="rect">
          <a:avLst/>
        </a:prstGeom>
      </xdr:spPr>
    </xdr:pic>
    <xdr:clientData/>
  </xdr:oneCellAnchor>
  <xdr:oneCellAnchor>
    <xdr:from>
      <xdr:col>9</xdr:col>
      <xdr:colOff>180975</xdr:colOff>
      <xdr:row>8</xdr:row>
      <xdr:rowOff>161925</xdr:rowOff>
    </xdr:from>
    <xdr:ext cx="352425" cy="356235"/>
    <xdr:pic>
      <xdr:nvPicPr>
        <xdr:cNvPr id="12" name="Picture 11">
          <a:extLst>
            <a:ext uri="{FF2B5EF4-FFF2-40B4-BE49-F238E27FC236}">
              <a16:creationId xmlns:a16="http://schemas.microsoft.com/office/drawing/2014/main" id="{596AF473-830E-4A83-9159-7F06886C7CD2}"/>
            </a:ext>
            <a:ext uri="{147F2762-F138-4A5C-976F-8EAC2B608ADB}">
              <a16:predDERef xmlns:a16="http://schemas.microsoft.com/office/drawing/2014/main" pred="{87BC41FE-C47F-60FF-AC2E-F27B65F9501A}"/>
            </a:ext>
          </a:extLst>
        </xdr:cNvPr>
        <xdr:cNvPicPr>
          <a:picLocks noChangeAspect="1"/>
        </xdr:cNvPicPr>
      </xdr:nvPicPr>
      <xdr:blipFill>
        <a:blip xmlns:r="http://schemas.openxmlformats.org/officeDocument/2006/relationships" r:embed="rId4"/>
        <a:stretch>
          <a:fillRect/>
        </a:stretch>
      </xdr:blipFill>
      <xdr:spPr>
        <a:xfrm>
          <a:off x="5667375" y="1624965"/>
          <a:ext cx="352425" cy="356235"/>
        </a:xfrm>
        <a:prstGeom prst="rect">
          <a:avLst/>
        </a:prstGeom>
      </xdr:spPr>
    </xdr:pic>
    <xdr:clientData/>
  </xdr:oneCellAnchor>
  <xdr:oneCellAnchor>
    <xdr:from>
      <xdr:col>13</xdr:col>
      <xdr:colOff>104775</xdr:colOff>
      <xdr:row>9</xdr:row>
      <xdr:rowOff>16119</xdr:rowOff>
    </xdr:from>
    <xdr:ext cx="361950" cy="356235"/>
    <xdr:pic>
      <xdr:nvPicPr>
        <xdr:cNvPr id="13" name="Picture 12">
          <a:extLst>
            <a:ext uri="{FF2B5EF4-FFF2-40B4-BE49-F238E27FC236}">
              <a16:creationId xmlns:a16="http://schemas.microsoft.com/office/drawing/2014/main" id="{E916485C-38C1-41D1-842F-33F15C809A6A}"/>
            </a:ext>
            <a:ext uri="{147F2762-F138-4A5C-976F-8EAC2B608ADB}">
              <a16:predDERef xmlns:a16="http://schemas.microsoft.com/office/drawing/2014/main" pred="{6EA48318-A415-274B-4074-33E392EC08C2}"/>
            </a:ext>
          </a:extLst>
        </xdr:cNvPr>
        <xdr:cNvPicPr>
          <a:picLocks noChangeAspect="1"/>
        </xdr:cNvPicPr>
      </xdr:nvPicPr>
      <xdr:blipFill>
        <a:blip xmlns:r="http://schemas.openxmlformats.org/officeDocument/2006/relationships" r:embed="rId5"/>
        <a:stretch>
          <a:fillRect/>
        </a:stretch>
      </xdr:blipFill>
      <xdr:spPr>
        <a:xfrm>
          <a:off x="8029575" y="1662039"/>
          <a:ext cx="361950" cy="356235"/>
        </a:xfrm>
        <a:prstGeom prst="rect">
          <a:avLst/>
        </a:prstGeom>
      </xdr:spPr>
    </xdr:pic>
    <xdr:clientData/>
  </xdr:oneCellAnchor>
  <xdr:oneCellAnchor>
    <xdr:from>
      <xdr:col>16</xdr:col>
      <xdr:colOff>600075</xdr:colOff>
      <xdr:row>9</xdr:row>
      <xdr:rowOff>28575</xdr:rowOff>
    </xdr:from>
    <xdr:ext cx="361950" cy="356235"/>
    <xdr:pic>
      <xdr:nvPicPr>
        <xdr:cNvPr id="14" name="Picture 13">
          <a:extLst>
            <a:ext uri="{FF2B5EF4-FFF2-40B4-BE49-F238E27FC236}">
              <a16:creationId xmlns:a16="http://schemas.microsoft.com/office/drawing/2014/main" id="{68599F9C-F7D5-47F6-B613-B51DAF578AF0}"/>
            </a:ext>
            <a:ext uri="{147F2762-F138-4A5C-976F-8EAC2B608ADB}">
              <a16:predDERef xmlns:a16="http://schemas.microsoft.com/office/drawing/2014/main" pred="{E8382889-77AE-3620-0FE0-AF6D80B67720}"/>
            </a:ext>
          </a:extLst>
        </xdr:cNvPr>
        <xdr:cNvPicPr>
          <a:picLocks noChangeAspect="1"/>
        </xdr:cNvPicPr>
      </xdr:nvPicPr>
      <xdr:blipFill>
        <a:blip xmlns:r="http://schemas.openxmlformats.org/officeDocument/2006/relationships" r:embed="rId6"/>
        <a:stretch>
          <a:fillRect/>
        </a:stretch>
      </xdr:blipFill>
      <xdr:spPr>
        <a:xfrm>
          <a:off x="10353675" y="1674495"/>
          <a:ext cx="361950" cy="356235"/>
        </a:xfrm>
        <a:prstGeom prst="rect">
          <a:avLst/>
        </a:prstGeom>
      </xdr:spPr>
    </xdr:pic>
    <xdr:clientData/>
  </xdr:oneCellAnchor>
  <xdr:twoCellAnchor>
    <xdr:from>
      <xdr:col>3</xdr:col>
      <xdr:colOff>416718</xdr:colOff>
      <xdr:row>8</xdr:row>
      <xdr:rowOff>126057</xdr:rowOff>
    </xdr:from>
    <xdr:to>
      <xdr:col>4</xdr:col>
      <xdr:colOff>316952</xdr:colOff>
      <xdr:row>9</xdr:row>
      <xdr:rowOff>111277</xdr:rowOff>
    </xdr:to>
    <xdr:sp macro="" textlink="">
      <xdr:nvSpPr>
        <xdr:cNvPr id="15" name="Flowchart: Terminator 14">
          <a:extLst>
            <a:ext uri="{FF2B5EF4-FFF2-40B4-BE49-F238E27FC236}">
              <a16:creationId xmlns:a16="http://schemas.microsoft.com/office/drawing/2014/main" id="{0D6FDBFD-E097-4A07-B3C8-95F4AA2995A7}"/>
            </a:ext>
          </a:extLst>
        </xdr:cNvPr>
        <xdr:cNvSpPr/>
      </xdr:nvSpPr>
      <xdr:spPr>
        <a:xfrm>
          <a:off x="2245518" y="1589097"/>
          <a:ext cx="509834" cy="168100"/>
        </a:xfrm>
        <a:prstGeom prst="flowChartTerminator">
          <a:avLst/>
        </a:prstGeom>
        <a:solidFill>
          <a:srgbClr val="42BE77">
            <a:alpha val="1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a:solidFill>
                <a:srgbClr val="42BE77"/>
              </a:solidFill>
            </a:rPr>
            <a:t>Total</a:t>
          </a:r>
        </a:p>
      </xdr:txBody>
    </xdr:sp>
    <xdr:clientData/>
  </xdr:twoCellAnchor>
  <xdr:twoCellAnchor>
    <xdr:from>
      <xdr:col>7</xdr:col>
      <xdr:colOff>173066</xdr:colOff>
      <xdr:row>8</xdr:row>
      <xdr:rowOff>118242</xdr:rowOff>
    </xdr:from>
    <xdr:to>
      <xdr:col>8</xdr:col>
      <xdr:colOff>238114</xdr:colOff>
      <xdr:row>9</xdr:row>
      <xdr:rowOff>144518</xdr:rowOff>
    </xdr:to>
    <xdr:sp macro="" textlink="">
      <xdr:nvSpPr>
        <xdr:cNvPr id="16" name="Flowchart: Terminator 15">
          <a:extLst>
            <a:ext uri="{FF2B5EF4-FFF2-40B4-BE49-F238E27FC236}">
              <a16:creationId xmlns:a16="http://schemas.microsoft.com/office/drawing/2014/main" id="{12F59767-E46E-43B9-BB72-BE8C4CF22823}"/>
            </a:ext>
          </a:extLst>
        </xdr:cNvPr>
        <xdr:cNvSpPr/>
      </xdr:nvSpPr>
      <xdr:spPr>
        <a:xfrm>
          <a:off x="4440266" y="1581282"/>
          <a:ext cx="674648" cy="209156"/>
        </a:xfrm>
        <a:prstGeom prst="flowChartTerminator">
          <a:avLst/>
        </a:prstGeom>
        <a:solidFill>
          <a:srgbClr val="D4AD1F">
            <a:alpha val="1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a:solidFill>
                <a:srgbClr val="D4AD1F"/>
              </a:solidFill>
            </a:rPr>
            <a:t>Average</a:t>
          </a:r>
        </a:p>
      </xdr:txBody>
    </xdr:sp>
    <xdr:clientData/>
  </xdr:twoCellAnchor>
  <xdr:twoCellAnchor>
    <xdr:from>
      <xdr:col>11</xdr:col>
      <xdr:colOff>7327</xdr:colOff>
      <xdr:row>8</xdr:row>
      <xdr:rowOff>151103</xdr:rowOff>
    </xdr:from>
    <xdr:to>
      <xdr:col>12</xdr:col>
      <xdr:colOff>151772</xdr:colOff>
      <xdr:row>9</xdr:row>
      <xdr:rowOff>171551</xdr:rowOff>
    </xdr:to>
    <xdr:sp macro="" textlink="">
      <xdr:nvSpPr>
        <xdr:cNvPr id="17" name="Flowchart: Terminator 16">
          <a:extLst>
            <a:ext uri="{FF2B5EF4-FFF2-40B4-BE49-F238E27FC236}">
              <a16:creationId xmlns:a16="http://schemas.microsoft.com/office/drawing/2014/main" id="{DF8BD1F4-4F9A-44CC-B75E-E057A0A55F07}"/>
            </a:ext>
          </a:extLst>
        </xdr:cNvPr>
        <xdr:cNvSpPr/>
      </xdr:nvSpPr>
      <xdr:spPr>
        <a:xfrm>
          <a:off x="6712927" y="1614143"/>
          <a:ext cx="754045" cy="203328"/>
        </a:xfrm>
        <a:prstGeom prst="flowChartTerminator">
          <a:avLst/>
        </a:prstGeom>
        <a:solidFill>
          <a:srgbClr val="EE6EB3">
            <a:alpha val="1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a:solidFill>
                <a:srgbClr val="EE6EB3"/>
              </a:solidFill>
            </a:rPr>
            <a:t>Members</a:t>
          </a:r>
        </a:p>
      </xdr:txBody>
    </xdr:sp>
    <xdr:clientData/>
  </xdr:twoCellAnchor>
  <xdr:twoCellAnchor>
    <xdr:from>
      <xdr:col>14</xdr:col>
      <xdr:colOff>424962</xdr:colOff>
      <xdr:row>8</xdr:row>
      <xdr:rowOff>186904</xdr:rowOff>
    </xdr:from>
    <xdr:to>
      <xdr:col>16</xdr:col>
      <xdr:colOff>46494</xdr:colOff>
      <xdr:row>10</xdr:row>
      <xdr:rowOff>6570</xdr:rowOff>
    </xdr:to>
    <xdr:sp macro="" textlink="">
      <xdr:nvSpPr>
        <xdr:cNvPr id="18" name="Flowchart: Terminator 17">
          <a:extLst>
            <a:ext uri="{FF2B5EF4-FFF2-40B4-BE49-F238E27FC236}">
              <a16:creationId xmlns:a16="http://schemas.microsoft.com/office/drawing/2014/main" id="{904F88DD-674E-4D62-9449-ECBC138F009A}"/>
            </a:ext>
          </a:extLst>
        </xdr:cNvPr>
        <xdr:cNvSpPr/>
      </xdr:nvSpPr>
      <xdr:spPr>
        <a:xfrm>
          <a:off x="8959362" y="1642324"/>
          <a:ext cx="840732" cy="193046"/>
        </a:xfrm>
        <a:prstGeom prst="flowChartTerminator">
          <a:avLst/>
        </a:prstGeom>
        <a:solidFill>
          <a:srgbClr val="BC80F8">
            <a:alpha val="1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a:solidFill>
                <a:srgbClr val="BC80F8"/>
              </a:solidFill>
            </a:rPr>
            <a:t>Platform</a:t>
          </a:r>
        </a:p>
      </xdr:txBody>
    </xdr:sp>
    <xdr:clientData/>
  </xdr:twoCellAnchor>
  <xdr:twoCellAnchor>
    <xdr:from>
      <xdr:col>18</xdr:col>
      <xdr:colOff>530680</xdr:colOff>
      <xdr:row>9</xdr:row>
      <xdr:rowOff>4684</xdr:rowOff>
    </xdr:from>
    <xdr:to>
      <xdr:col>19</xdr:col>
      <xdr:colOff>581168</xdr:colOff>
      <xdr:row>10</xdr:row>
      <xdr:rowOff>14653</xdr:rowOff>
    </xdr:to>
    <xdr:sp macro="" textlink="">
      <xdr:nvSpPr>
        <xdr:cNvPr id="19" name="Flowchart: Terminator 18">
          <a:extLst>
            <a:ext uri="{FF2B5EF4-FFF2-40B4-BE49-F238E27FC236}">
              <a16:creationId xmlns:a16="http://schemas.microsoft.com/office/drawing/2014/main" id="{385B7C23-2402-4AF8-B171-59C526D3AE6A}"/>
            </a:ext>
          </a:extLst>
        </xdr:cNvPr>
        <xdr:cNvSpPr/>
      </xdr:nvSpPr>
      <xdr:spPr>
        <a:xfrm>
          <a:off x="11503480" y="1650604"/>
          <a:ext cx="660088" cy="192849"/>
        </a:xfrm>
        <a:prstGeom prst="flowChartTerminator">
          <a:avLst/>
        </a:prstGeom>
        <a:solidFill>
          <a:srgbClr val="42BE77">
            <a:alpha val="1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a:solidFill>
                <a:srgbClr val="42BE77"/>
              </a:solidFill>
            </a:rPr>
            <a:t>Highest</a:t>
          </a:r>
        </a:p>
      </xdr:txBody>
    </xdr:sp>
    <xdr:clientData/>
  </xdr:twoCellAnchor>
  <xdr:twoCellAnchor>
    <xdr:from>
      <xdr:col>1</xdr:col>
      <xdr:colOff>281639</xdr:colOff>
      <xdr:row>10</xdr:row>
      <xdr:rowOff>145800</xdr:rowOff>
    </xdr:from>
    <xdr:to>
      <xdr:col>2</xdr:col>
      <xdr:colOff>472139</xdr:colOff>
      <xdr:row>11</xdr:row>
      <xdr:rowOff>168520</xdr:rowOff>
    </xdr:to>
    <xdr:sp macro="" textlink="">
      <xdr:nvSpPr>
        <xdr:cNvPr id="20" name="TextBox 19">
          <a:extLst>
            <a:ext uri="{FF2B5EF4-FFF2-40B4-BE49-F238E27FC236}">
              <a16:creationId xmlns:a16="http://schemas.microsoft.com/office/drawing/2014/main" id="{4380371D-ACA3-4501-AC8E-5660CA3F3997}"/>
            </a:ext>
          </a:extLst>
        </xdr:cNvPr>
        <xdr:cNvSpPr txBox="1"/>
      </xdr:nvSpPr>
      <xdr:spPr>
        <a:xfrm>
          <a:off x="891239" y="1974600"/>
          <a:ext cx="800100" cy="20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lumMod val="75000"/>
                </a:schemeClr>
              </a:solidFill>
            </a:rPr>
            <a:t>Total Anime</a:t>
          </a:r>
        </a:p>
        <a:p>
          <a:r>
            <a:rPr lang="en-US" sz="2400" b="1">
              <a:solidFill>
                <a:srgbClr val="F4FBFE"/>
              </a:solidFill>
            </a:rPr>
            <a:t>623</a:t>
          </a:r>
          <a:r>
            <a:rPr lang="en-US" sz="1000">
              <a:solidFill>
                <a:srgbClr val="F4FBFE"/>
              </a:solidFill>
            </a:rPr>
            <a:t>	</a:t>
          </a:r>
        </a:p>
      </xdr:txBody>
    </xdr:sp>
    <xdr:clientData/>
  </xdr:twoCellAnchor>
  <xdr:twoCellAnchor>
    <xdr:from>
      <xdr:col>5</xdr:col>
      <xdr:colOff>168994</xdr:colOff>
      <xdr:row>10</xdr:row>
      <xdr:rowOff>151072</xdr:rowOff>
    </xdr:from>
    <xdr:to>
      <xdr:col>6</xdr:col>
      <xdr:colOff>359494</xdr:colOff>
      <xdr:row>11</xdr:row>
      <xdr:rowOff>176561</xdr:rowOff>
    </xdr:to>
    <xdr:sp macro="" textlink="">
      <xdr:nvSpPr>
        <xdr:cNvPr id="21" name="TextBox 20">
          <a:extLst>
            <a:ext uri="{FF2B5EF4-FFF2-40B4-BE49-F238E27FC236}">
              <a16:creationId xmlns:a16="http://schemas.microsoft.com/office/drawing/2014/main" id="{0DE1F31D-9C08-4997-BB60-6E0FD73640E4}"/>
            </a:ext>
          </a:extLst>
        </xdr:cNvPr>
        <xdr:cNvSpPr txBox="1"/>
      </xdr:nvSpPr>
      <xdr:spPr>
        <a:xfrm>
          <a:off x="3216994" y="1979872"/>
          <a:ext cx="800100" cy="208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lumMod val="75000"/>
                </a:schemeClr>
              </a:solidFill>
            </a:rPr>
            <a:t>Avg</a:t>
          </a:r>
          <a:r>
            <a:rPr lang="en-US" sz="1000" baseline="0">
              <a:solidFill>
                <a:schemeClr val="bg1">
                  <a:lumMod val="75000"/>
                </a:schemeClr>
              </a:solidFill>
            </a:rPr>
            <a:t> Rating</a:t>
          </a:r>
          <a:endParaRPr lang="en-US" sz="1000">
            <a:solidFill>
              <a:schemeClr val="bg1">
                <a:lumMod val="75000"/>
              </a:schemeClr>
            </a:solidFill>
          </a:endParaRPr>
        </a:p>
        <a:p>
          <a:endParaRPr lang="en-US" sz="1000">
            <a:solidFill>
              <a:srgbClr val="F4FBFE"/>
            </a:solidFill>
          </a:endParaRPr>
        </a:p>
        <a:p>
          <a:r>
            <a:rPr lang="en-US" sz="1000">
              <a:solidFill>
                <a:srgbClr val="F4FBFE"/>
              </a:solidFill>
            </a:rPr>
            <a:t>	</a:t>
          </a:r>
        </a:p>
      </xdr:txBody>
    </xdr:sp>
    <xdr:clientData/>
  </xdr:twoCellAnchor>
  <xdr:twoCellAnchor>
    <xdr:from>
      <xdr:col>9</xdr:col>
      <xdr:colOff>66881</xdr:colOff>
      <xdr:row>11</xdr:row>
      <xdr:rowOff>122769</xdr:rowOff>
    </xdr:from>
    <xdr:to>
      <xdr:col>11</xdr:col>
      <xdr:colOff>266700</xdr:colOff>
      <xdr:row>16</xdr:row>
      <xdr:rowOff>0</xdr:rowOff>
    </xdr:to>
    <xdr:sp macro="" textlink="new!M44">
      <xdr:nvSpPr>
        <xdr:cNvPr id="22" name="TextBox 21">
          <a:extLst>
            <a:ext uri="{FF2B5EF4-FFF2-40B4-BE49-F238E27FC236}">
              <a16:creationId xmlns:a16="http://schemas.microsoft.com/office/drawing/2014/main" id="{AAD6C774-2D7B-47A8-B1B9-5FFEF9F967E0}"/>
            </a:ext>
          </a:extLst>
        </xdr:cNvPr>
        <xdr:cNvSpPr txBox="1"/>
      </xdr:nvSpPr>
      <xdr:spPr>
        <a:xfrm>
          <a:off x="5553281" y="2134449"/>
          <a:ext cx="1419019" cy="791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5D75DED-520A-4BCA-B392-9543F3F869CD}" type="TxLink">
            <a:rPr lang="en-US" sz="2400" b="1" i="0" u="none" strike="noStrike">
              <a:solidFill>
                <a:schemeClr val="bg1"/>
              </a:solidFill>
              <a:latin typeface="Aptos Narrow"/>
            </a:rPr>
            <a:pPr/>
            <a:t>4924.5</a:t>
          </a:fld>
          <a:endParaRPr lang="en-US" sz="2400" b="1">
            <a:solidFill>
              <a:schemeClr val="bg1"/>
            </a:solidFill>
          </a:endParaRPr>
        </a:p>
      </xdr:txBody>
    </xdr:sp>
    <xdr:clientData/>
  </xdr:twoCellAnchor>
  <xdr:twoCellAnchor>
    <xdr:from>
      <xdr:col>13</xdr:col>
      <xdr:colOff>12080</xdr:colOff>
      <xdr:row>11</xdr:row>
      <xdr:rowOff>30664</xdr:rowOff>
    </xdr:from>
    <xdr:to>
      <xdr:col>14</xdr:col>
      <xdr:colOff>342899</xdr:colOff>
      <xdr:row>12</xdr:row>
      <xdr:rowOff>68580</xdr:rowOff>
    </xdr:to>
    <xdr:sp macro="" textlink="">
      <xdr:nvSpPr>
        <xdr:cNvPr id="23" name="TextBox 22">
          <a:extLst>
            <a:ext uri="{FF2B5EF4-FFF2-40B4-BE49-F238E27FC236}">
              <a16:creationId xmlns:a16="http://schemas.microsoft.com/office/drawing/2014/main" id="{94EC71EE-DD50-452F-A727-1D7CECC0F3D7}"/>
            </a:ext>
          </a:extLst>
        </xdr:cNvPr>
        <xdr:cNvSpPr txBox="1"/>
      </xdr:nvSpPr>
      <xdr:spPr>
        <a:xfrm>
          <a:off x="7936880" y="2042344"/>
          <a:ext cx="940419" cy="220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lumMod val="75000"/>
                </a:schemeClr>
              </a:solidFill>
            </a:rPr>
            <a:t>Best Platform</a:t>
          </a:r>
          <a:endParaRPr lang="en-US" sz="1000">
            <a:solidFill>
              <a:srgbClr val="F4FBFE"/>
            </a:solidFill>
          </a:endParaRPr>
        </a:p>
      </xdr:txBody>
    </xdr:sp>
    <xdr:clientData/>
  </xdr:twoCellAnchor>
  <xdr:twoCellAnchor>
    <xdr:from>
      <xdr:col>16</xdr:col>
      <xdr:colOff>452960</xdr:colOff>
      <xdr:row>12</xdr:row>
      <xdr:rowOff>42463</xdr:rowOff>
    </xdr:from>
    <xdr:to>
      <xdr:col>20</xdr:col>
      <xdr:colOff>188258</xdr:colOff>
      <xdr:row>14</xdr:row>
      <xdr:rowOff>59615</xdr:rowOff>
    </xdr:to>
    <xdr:sp macro="" textlink="new!L62">
      <xdr:nvSpPr>
        <xdr:cNvPr id="24" name="TextBox 23">
          <a:extLst>
            <a:ext uri="{FF2B5EF4-FFF2-40B4-BE49-F238E27FC236}">
              <a16:creationId xmlns:a16="http://schemas.microsoft.com/office/drawing/2014/main" id="{6B7A7D00-A0EC-4B11-A796-07D19BAF870B}"/>
            </a:ext>
          </a:extLst>
        </xdr:cNvPr>
        <xdr:cNvSpPr txBox="1"/>
      </xdr:nvSpPr>
      <xdr:spPr>
        <a:xfrm>
          <a:off x="10206560" y="2193992"/>
          <a:ext cx="2173698" cy="375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899592-5254-4200-90E8-4C903A3A4C16}" type="TxLink">
            <a:rPr lang="en-US" sz="1800" b="1" i="0" u="none" strike="noStrike">
              <a:solidFill>
                <a:schemeClr val="bg1"/>
              </a:solidFill>
              <a:latin typeface="Aptos Narrow"/>
            </a:rPr>
            <a:pPr/>
            <a:t>Attack on Titan Final</a:t>
          </a:fld>
          <a:endParaRPr lang="en-US" sz="1800" b="1">
            <a:solidFill>
              <a:schemeClr val="bg1"/>
            </a:solidFill>
          </a:endParaRPr>
        </a:p>
      </xdr:txBody>
    </xdr:sp>
    <xdr:clientData/>
  </xdr:twoCellAnchor>
  <xdr:twoCellAnchor>
    <xdr:from>
      <xdr:col>1</xdr:col>
      <xdr:colOff>276225</xdr:colOff>
      <xdr:row>16</xdr:row>
      <xdr:rowOff>19050</xdr:rowOff>
    </xdr:from>
    <xdr:to>
      <xdr:col>5</xdr:col>
      <xdr:colOff>523875</xdr:colOff>
      <xdr:row>41</xdr:row>
      <xdr:rowOff>76200</xdr:rowOff>
    </xdr:to>
    <xdr:sp macro="" textlink="">
      <xdr:nvSpPr>
        <xdr:cNvPr id="25" name="Rectangle: Rounded Corners 24">
          <a:extLst>
            <a:ext uri="{FF2B5EF4-FFF2-40B4-BE49-F238E27FC236}">
              <a16:creationId xmlns:a16="http://schemas.microsoft.com/office/drawing/2014/main" id="{691DAE19-D741-49ED-B87F-4F8CE76F0ED3}"/>
            </a:ext>
          </a:extLst>
        </xdr:cNvPr>
        <xdr:cNvSpPr/>
      </xdr:nvSpPr>
      <xdr:spPr>
        <a:xfrm>
          <a:off x="885825" y="3067050"/>
          <a:ext cx="2686050" cy="4819650"/>
        </a:xfrm>
        <a:prstGeom prst="roundRect">
          <a:avLst/>
        </a:prstGeom>
        <a:no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169544</xdr:colOff>
      <xdr:row>16</xdr:row>
      <xdr:rowOff>175260</xdr:rowOff>
    </xdr:from>
    <xdr:to>
      <xdr:col>19</xdr:col>
      <xdr:colOff>531495</xdr:colOff>
      <xdr:row>31</xdr:row>
      <xdr:rowOff>1905</xdr:rowOff>
    </xdr:to>
    <xdr:sp macro="" textlink="">
      <xdr:nvSpPr>
        <xdr:cNvPr id="26" name="Rectangle: Rounded Corners 25">
          <a:extLst>
            <a:ext uri="{FF2B5EF4-FFF2-40B4-BE49-F238E27FC236}">
              <a16:creationId xmlns:a16="http://schemas.microsoft.com/office/drawing/2014/main" id="{903B3141-1A68-4C1E-8767-86E6DD477BC8}"/>
            </a:ext>
          </a:extLst>
        </xdr:cNvPr>
        <xdr:cNvSpPr/>
      </xdr:nvSpPr>
      <xdr:spPr>
        <a:xfrm>
          <a:off x="8094344" y="3223260"/>
          <a:ext cx="4019551" cy="2684145"/>
        </a:xfrm>
        <a:prstGeom prst="roundRect">
          <a:avLst/>
        </a:prstGeom>
        <a:solidFill>
          <a:srgbClr val="1E1A47">
            <a:alpha val="65098"/>
          </a:srgbClr>
        </a:solidFill>
        <a:ln w="12700">
          <a:solidFill>
            <a:srgbClr val="F4FBFE">
              <a:alpha val="6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192181</xdr:colOff>
      <xdr:row>32</xdr:row>
      <xdr:rowOff>23756</xdr:rowOff>
    </xdr:from>
    <xdr:to>
      <xdr:col>12</xdr:col>
      <xdr:colOff>549648</xdr:colOff>
      <xdr:row>46</xdr:row>
      <xdr:rowOff>33281</xdr:rowOff>
    </xdr:to>
    <xdr:sp macro="" textlink="">
      <xdr:nvSpPr>
        <xdr:cNvPr id="27" name="Rectangle: Rounded Corners 26">
          <a:extLst>
            <a:ext uri="{FF2B5EF4-FFF2-40B4-BE49-F238E27FC236}">
              <a16:creationId xmlns:a16="http://schemas.microsoft.com/office/drawing/2014/main" id="{F2F58A1C-B01C-411B-954F-22A0C101B1F4}"/>
            </a:ext>
          </a:extLst>
        </xdr:cNvPr>
        <xdr:cNvSpPr/>
      </xdr:nvSpPr>
      <xdr:spPr>
        <a:xfrm>
          <a:off x="3822887" y="6119756"/>
          <a:ext cx="3988173" cy="2676525"/>
        </a:xfrm>
        <a:prstGeom prst="roundRect">
          <a:avLst/>
        </a:prstGeom>
        <a:solidFill>
          <a:srgbClr val="1E1A47">
            <a:alpha val="65098"/>
          </a:srgbClr>
        </a:solid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290195</xdr:colOff>
      <xdr:row>17</xdr:row>
      <xdr:rowOff>116205</xdr:rowOff>
    </xdr:from>
    <xdr:to>
      <xdr:col>17</xdr:col>
      <xdr:colOff>4445</xdr:colOff>
      <xdr:row>19</xdr:row>
      <xdr:rowOff>128905</xdr:rowOff>
    </xdr:to>
    <xdr:sp macro="" textlink="">
      <xdr:nvSpPr>
        <xdr:cNvPr id="28" name="TextBox 27">
          <a:extLst>
            <a:ext uri="{FF2B5EF4-FFF2-40B4-BE49-F238E27FC236}">
              <a16:creationId xmlns:a16="http://schemas.microsoft.com/office/drawing/2014/main" id="{4965386F-9D5E-49BB-BEC4-112AC0F85B97}"/>
            </a:ext>
          </a:extLst>
        </xdr:cNvPr>
        <xdr:cNvSpPr txBox="1"/>
      </xdr:nvSpPr>
      <xdr:spPr>
        <a:xfrm>
          <a:off x="8214995" y="3354705"/>
          <a:ext cx="215265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a:t>🏆</a:t>
          </a:r>
          <a:r>
            <a:rPr lang="en-US" sz="1100"/>
            <a:t> </a:t>
          </a:r>
          <a:r>
            <a:rPr lang="en-US" sz="1100">
              <a:solidFill>
                <a:schemeClr val="bg1"/>
              </a:solidFill>
            </a:rPr>
            <a:t> </a:t>
          </a:r>
          <a:r>
            <a:rPr lang="en-US" sz="1400">
              <a:solidFill>
                <a:schemeClr val="bg1"/>
              </a:solidFill>
            </a:rPr>
            <a:t>Rating by Viewership</a:t>
          </a:r>
        </a:p>
      </xdr:txBody>
    </xdr:sp>
    <xdr:clientData/>
  </xdr:twoCellAnchor>
  <xdr:twoCellAnchor>
    <xdr:from>
      <xdr:col>5</xdr:col>
      <xdr:colOff>157975</xdr:colOff>
      <xdr:row>11</xdr:row>
      <xdr:rowOff>111512</xdr:rowOff>
    </xdr:from>
    <xdr:to>
      <xdr:col>7</xdr:col>
      <xdr:colOff>51109</xdr:colOff>
      <xdr:row>13</xdr:row>
      <xdr:rowOff>181207</xdr:rowOff>
    </xdr:to>
    <xdr:sp macro="" textlink="new!M32">
      <xdr:nvSpPr>
        <xdr:cNvPr id="29" name="TextBox 28">
          <a:extLst>
            <a:ext uri="{FF2B5EF4-FFF2-40B4-BE49-F238E27FC236}">
              <a16:creationId xmlns:a16="http://schemas.microsoft.com/office/drawing/2014/main" id="{55692650-D1DF-4313-B311-F70AE8C305B9}"/>
            </a:ext>
          </a:extLst>
        </xdr:cNvPr>
        <xdr:cNvSpPr txBox="1"/>
      </xdr:nvSpPr>
      <xdr:spPr>
        <a:xfrm>
          <a:off x="3205975" y="2123192"/>
          <a:ext cx="1112334" cy="435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F5DF8F-1D22-48FC-B0EC-13B5860BDB63}" type="TxLink">
            <a:rPr lang="en-US" sz="2400" b="1" i="0" u="none" strike="noStrike">
              <a:solidFill>
                <a:schemeClr val="bg1"/>
              </a:solidFill>
              <a:latin typeface="Aptos Narrow"/>
            </a:rPr>
            <a:pPr/>
            <a:t>8.17</a:t>
          </a:fld>
          <a:endParaRPr lang="en-US" sz="2400" b="1">
            <a:solidFill>
              <a:schemeClr val="bg1"/>
            </a:solidFill>
          </a:endParaRPr>
        </a:p>
      </xdr:txBody>
    </xdr:sp>
    <xdr:clientData/>
  </xdr:twoCellAnchor>
  <xdr:oneCellAnchor>
    <xdr:from>
      <xdr:col>6</xdr:col>
      <xdr:colOff>437533</xdr:colOff>
      <xdr:row>33</xdr:row>
      <xdr:rowOff>55017</xdr:rowOff>
    </xdr:from>
    <xdr:ext cx="236952" cy="229693"/>
    <xdr:pic>
      <xdr:nvPicPr>
        <xdr:cNvPr id="30" name="Picture 29">
          <a:extLst>
            <a:ext uri="{FF2B5EF4-FFF2-40B4-BE49-F238E27FC236}">
              <a16:creationId xmlns:a16="http://schemas.microsoft.com/office/drawing/2014/main" id="{76DF0E10-A749-4414-B70F-59CC98CEA94A}"/>
            </a:ext>
          </a:extLst>
        </xdr:cNvPr>
        <xdr:cNvPicPr>
          <a:picLocks noChangeAspect="1"/>
        </xdr:cNvPicPr>
      </xdr:nvPicPr>
      <xdr:blipFill>
        <a:blip xmlns:r="http://schemas.openxmlformats.org/officeDocument/2006/relationships" r:embed="rId7"/>
        <a:stretch>
          <a:fillRect/>
        </a:stretch>
      </xdr:blipFill>
      <xdr:spPr>
        <a:xfrm>
          <a:off x="4068239" y="6341517"/>
          <a:ext cx="236952" cy="229693"/>
        </a:xfrm>
        <a:prstGeom prst="rect">
          <a:avLst/>
        </a:prstGeom>
      </xdr:spPr>
    </xdr:pic>
    <xdr:clientData/>
  </xdr:oneCellAnchor>
  <xdr:twoCellAnchor>
    <xdr:from>
      <xdr:col>7</xdr:col>
      <xdr:colOff>92234</xdr:colOff>
      <xdr:row>32</xdr:row>
      <xdr:rowOff>154413</xdr:rowOff>
    </xdr:from>
    <xdr:to>
      <xdr:col>10</xdr:col>
      <xdr:colOff>495213</xdr:colOff>
      <xdr:row>34</xdr:row>
      <xdr:rowOff>174733</xdr:rowOff>
    </xdr:to>
    <xdr:sp macro="" textlink="">
      <xdr:nvSpPr>
        <xdr:cNvPr id="31" name="TextBox 30">
          <a:extLst>
            <a:ext uri="{FF2B5EF4-FFF2-40B4-BE49-F238E27FC236}">
              <a16:creationId xmlns:a16="http://schemas.microsoft.com/office/drawing/2014/main" id="{C680C888-F7F3-4FB0-967A-DFA8BE94EA90}"/>
            </a:ext>
          </a:extLst>
        </xdr:cNvPr>
        <xdr:cNvSpPr txBox="1"/>
      </xdr:nvSpPr>
      <xdr:spPr>
        <a:xfrm>
          <a:off x="4328058" y="6250413"/>
          <a:ext cx="2218331" cy="401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a:solidFill>
                <a:schemeClr val="bg1"/>
              </a:solidFill>
            </a:rPr>
            <a:t>Viewership By Region</a:t>
          </a:r>
        </a:p>
      </xdr:txBody>
    </xdr:sp>
    <xdr:clientData/>
  </xdr:twoCellAnchor>
  <xdr:twoCellAnchor>
    <xdr:from>
      <xdr:col>13</xdr:col>
      <xdr:colOff>215264</xdr:colOff>
      <xdr:row>32</xdr:row>
      <xdr:rowOff>32722</xdr:rowOff>
    </xdr:from>
    <xdr:to>
      <xdr:col>19</xdr:col>
      <xdr:colOff>577215</xdr:colOff>
      <xdr:row>46</xdr:row>
      <xdr:rowOff>42247</xdr:rowOff>
    </xdr:to>
    <xdr:sp macro="" textlink="">
      <xdr:nvSpPr>
        <xdr:cNvPr id="32" name="Rectangle: Rounded Corners 31">
          <a:extLst>
            <a:ext uri="{FF2B5EF4-FFF2-40B4-BE49-F238E27FC236}">
              <a16:creationId xmlns:a16="http://schemas.microsoft.com/office/drawing/2014/main" id="{C8FE9632-56B3-4C89-B5E5-7159175C5C82}"/>
            </a:ext>
          </a:extLst>
        </xdr:cNvPr>
        <xdr:cNvSpPr/>
      </xdr:nvSpPr>
      <xdr:spPr>
        <a:xfrm>
          <a:off x="8081793" y="6128722"/>
          <a:ext cx="3992657" cy="2676525"/>
        </a:xfrm>
        <a:prstGeom prst="roundRect">
          <a:avLst/>
        </a:prstGeom>
        <a:solidFill>
          <a:srgbClr val="1E1A47">
            <a:alpha val="65098"/>
          </a:srgbClr>
        </a:solidFill>
        <a:ln w="12700">
          <a:solidFill>
            <a:schemeClr val="bg1">
              <a:alpha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190499</xdr:colOff>
      <xdr:row>32</xdr:row>
      <xdr:rowOff>163581</xdr:rowOff>
    </xdr:from>
    <xdr:to>
      <xdr:col>17</xdr:col>
      <xdr:colOff>358587</xdr:colOff>
      <xdr:row>34</xdr:row>
      <xdr:rowOff>176281</xdr:rowOff>
    </xdr:to>
    <xdr:sp macro="" textlink="">
      <xdr:nvSpPr>
        <xdr:cNvPr id="33" name="TextBox 32">
          <a:extLst>
            <a:ext uri="{FF2B5EF4-FFF2-40B4-BE49-F238E27FC236}">
              <a16:creationId xmlns:a16="http://schemas.microsoft.com/office/drawing/2014/main" id="{49225111-A2C1-4D48-A7D3-306FA97ED080}"/>
            </a:ext>
          </a:extLst>
        </xdr:cNvPr>
        <xdr:cNvSpPr txBox="1"/>
      </xdr:nvSpPr>
      <xdr:spPr>
        <a:xfrm>
          <a:off x="8662146" y="6259581"/>
          <a:ext cx="1983441"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aseline="0"/>
            <a:t>    </a:t>
          </a:r>
          <a:r>
            <a:rPr lang="en-US" sz="1400">
              <a:solidFill>
                <a:schemeClr val="bg1"/>
              </a:solidFill>
            </a:rPr>
            <a:t>Rating Trend By Year</a:t>
          </a:r>
        </a:p>
      </xdr:txBody>
    </xdr:sp>
    <xdr:clientData/>
  </xdr:twoCellAnchor>
  <xdr:twoCellAnchor>
    <xdr:from>
      <xdr:col>1</xdr:col>
      <xdr:colOff>270511</xdr:colOff>
      <xdr:row>11</xdr:row>
      <xdr:rowOff>110197</xdr:rowOff>
    </xdr:from>
    <xdr:to>
      <xdr:col>2</xdr:col>
      <xdr:colOff>321800</xdr:colOff>
      <xdr:row>13</xdr:row>
      <xdr:rowOff>73563</xdr:rowOff>
    </xdr:to>
    <xdr:sp macro="" textlink="new!M39">
      <xdr:nvSpPr>
        <xdr:cNvPr id="34" name="TextBox 33">
          <a:extLst>
            <a:ext uri="{FF2B5EF4-FFF2-40B4-BE49-F238E27FC236}">
              <a16:creationId xmlns:a16="http://schemas.microsoft.com/office/drawing/2014/main" id="{E9E93BC7-1121-4DF0-BBE5-B75CE801C256}"/>
            </a:ext>
          </a:extLst>
        </xdr:cNvPr>
        <xdr:cNvSpPr txBox="1"/>
      </xdr:nvSpPr>
      <xdr:spPr>
        <a:xfrm>
          <a:off x="880111" y="2121877"/>
          <a:ext cx="660889" cy="329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AEC318-725B-45DD-B75E-6FDAA064B18F}" type="TxLink">
            <a:rPr lang="en-US" sz="2400" b="1" i="0" u="none" strike="noStrike">
              <a:solidFill>
                <a:schemeClr val="bg1"/>
              </a:solidFill>
              <a:latin typeface="Aptos Narrow"/>
            </a:rPr>
            <a:pPr/>
            <a:t>441</a:t>
          </a:fld>
          <a:endParaRPr lang="en-US" sz="2400" b="1">
            <a:solidFill>
              <a:schemeClr val="bg1"/>
            </a:solidFill>
          </a:endParaRPr>
        </a:p>
      </xdr:txBody>
    </xdr:sp>
    <xdr:clientData/>
  </xdr:twoCellAnchor>
  <xdr:twoCellAnchor>
    <xdr:from>
      <xdr:col>12</xdr:col>
      <xdr:colOff>600808</xdr:colOff>
      <xdr:row>12</xdr:row>
      <xdr:rowOff>24326</xdr:rowOff>
    </xdr:from>
    <xdr:to>
      <xdr:col>15</xdr:col>
      <xdr:colOff>304800</xdr:colOff>
      <xdr:row>14</xdr:row>
      <xdr:rowOff>75322</xdr:rowOff>
    </xdr:to>
    <xdr:sp macro="" textlink="new!L52">
      <xdr:nvSpPr>
        <xdr:cNvPr id="35" name="TextBox 34">
          <a:extLst>
            <a:ext uri="{FF2B5EF4-FFF2-40B4-BE49-F238E27FC236}">
              <a16:creationId xmlns:a16="http://schemas.microsoft.com/office/drawing/2014/main" id="{CC6AB2A2-4314-4D75-ACE2-29C26590BCA3}"/>
            </a:ext>
          </a:extLst>
        </xdr:cNvPr>
        <xdr:cNvSpPr txBox="1"/>
      </xdr:nvSpPr>
      <xdr:spPr>
        <a:xfrm>
          <a:off x="7916008" y="2218886"/>
          <a:ext cx="1532792" cy="416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6972E0-E7FC-48FE-A534-783FA98CEB48}" type="TxLink">
            <a:rPr lang="en-US" sz="2000" b="1" i="0" u="none" strike="noStrike">
              <a:solidFill>
                <a:schemeClr val="bg1"/>
              </a:solidFill>
              <a:latin typeface="Aptos Narrow"/>
            </a:rPr>
            <a:pPr/>
            <a:t>Crunchyroll</a:t>
          </a:fld>
          <a:endParaRPr lang="en-US" sz="2000" b="1">
            <a:solidFill>
              <a:schemeClr val="bg1"/>
            </a:solidFill>
          </a:endParaRPr>
        </a:p>
      </xdr:txBody>
    </xdr:sp>
    <xdr:clientData/>
  </xdr:twoCellAnchor>
  <xdr:oneCellAnchor>
    <xdr:from>
      <xdr:col>13</xdr:col>
      <xdr:colOff>368694</xdr:colOff>
      <xdr:row>18</xdr:row>
      <xdr:rowOff>22860</xdr:rowOff>
    </xdr:from>
    <xdr:ext cx="271386" cy="274320"/>
    <xdr:pic>
      <xdr:nvPicPr>
        <xdr:cNvPr id="37" name="Picture 36">
          <a:extLst>
            <a:ext uri="{FF2B5EF4-FFF2-40B4-BE49-F238E27FC236}">
              <a16:creationId xmlns:a16="http://schemas.microsoft.com/office/drawing/2014/main" id="{828034CE-BD3E-4B81-8683-7F3E48FE8B0D}"/>
            </a:ext>
            <a:ext uri="{147F2762-F138-4A5C-976F-8EAC2B608ADB}">
              <a16:predDERef xmlns:a16="http://schemas.microsoft.com/office/drawing/2014/main" pred="{87BC41FE-C47F-60FF-AC2E-F27B65F9501A}"/>
            </a:ext>
          </a:extLst>
        </xdr:cNvPr>
        <xdr:cNvPicPr>
          <a:picLocks noChangeAspect="1"/>
        </xdr:cNvPicPr>
      </xdr:nvPicPr>
      <xdr:blipFill>
        <a:blip xmlns:r="http://schemas.openxmlformats.org/officeDocument/2006/relationships" r:embed="rId4"/>
        <a:stretch>
          <a:fillRect/>
        </a:stretch>
      </xdr:blipFill>
      <xdr:spPr>
        <a:xfrm>
          <a:off x="8293494" y="3451860"/>
          <a:ext cx="271386" cy="274320"/>
        </a:xfrm>
        <a:prstGeom prst="rect">
          <a:avLst/>
        </a:prstGeom>
      </xdr:spPr>
    </xdr:pic>
    <xdr:clientData/>
  </xdr:oneCellAnchor>
  <xdr:twoCellAnchor>
    <xdr:from>
      <xdr:col>6</xdr:col>
      <xdr:colOff>437478</xdr:colOff>
      <xdr:row>34</xdr:row>
      <xdr:rowOff>177613</xdr:rowOff>
    </xdr:from>
    <xdr:to>
      <xdr:col>12</xdr:col>
      <xdr:colOff>165063</xdr:colOff>
      <xdr:row>45</xdr:row>
      <xdr:rowOff>183328</xdr:rowOff>
    </xdr:to>
    <xdr:graphicFrame macro="">
      <xdr:nvGraphicFramePr>
        <xdr:cNvPr id="38" name="Chart 37">
          <a:extLst>
            <a:ext uri="{FF2B5EF4-FFF2-40B4-BE49-F238E27FC236}">
              <a16:creationId xmlns:a16="http://schemas.microsoft.com/office/drawing/2014/main" id="{597BD1A5-C9D2-4072-818E-5A71C3206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13</xdr:col>
      <xdr:colOff>413609</xdr:colOff>
      <xdr:row>32</xdr:row>
      <xdr:rowOff>108585</xdr:rowOff>
    </xdr:from>
    <xdr:ext cx="428624" cy="432434"/>
    <xdr:pic>
      <xdr:nvPicPr>
        <xdr:cNvPr id="39" name="Graphic 38" descr="Statistics with solid fill">
          <a:extLst>
            <a:ext uri="{FF2B5EF4-FFF2-40B4-BE49-F238E27FC236}">
              <a16:creationId xmlns:a16="http://schemas.microsoft.com/office/drawing/2014/main" id="{B9820E4B-230F-401E-8CDC-E065E1576A3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280138" y="6204585"/>
          <a:ext cx="428624" cy="432434"/>
        </a:xfrm>
        <a:prstGeom prst="rect">
          <a:avLst/>
        </a:prstGeom>
      </xdr:spPr>
    </xdr:pic>
    <xdr:clientData/>
  </xdr:oneCellAnchor>
  <xdr:twoCellAnchor>
    <xdr:from>
      <xdr:col>6</xdr:col>
      <xdr:colOff>142874</xdr:colOff>
      <xdr:row>16</xdr:row>
      <xdr:rowOff>163830</xdr:rowOff>
    </xdr:from>
    <xdr:to>
      <xdr:col>12</xdr:col>
      <xdr:colOff>504825</xdr:colOff>
      <xdr:row>30</xdr:row>
      <xdr:rowOff>173355</xdr:rowOff>
    </xdr:to>
    <xdr:sp macro="" textlink="">
      <xdr:nvSpPr>
        <xdr:cNvPr id="40" name="Rectangle: Rounded Corners 39">
          <a:extLst>
            <a:ext uri="{FF2B5EF4-FFF2-40B4-BE49-F238E27FC236}">
              <a16:creationId xmlns:a16="http://schemas.microsoft.com/office/drawing/2014/main" id="{FC47FC28-C43A-4743-BC1D-8FB81355253E}"/>
            </a:ext>
          </a:extLst>
        </xdr:cNvPr>
        <xdr:cNvSpPr/>
      </xdr:nvSpPr>
      <xdr:spPr>
        <a:xfrm>
          <a:off x="3800474" y="3211830"/>
          <a:ext cx="4019551" cy="2676525"/>
        </a:xfrm>
        <a:prstGeom prst="roundRect">
          <a:avLst/>
        </a:prstGeom>
        <a:solidFill>
          <a:srgbClr val="1E1A47">
            <a:alpha val="65098"/>
          </a:srgbClr>
        </a:solidFill>
        <a:ln w="12700">
          <a:solidFill>
            <a:srgbClr val="F4FBFE">
              <a:alpha val="6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263525</xdr:colOff>
      <xdr:row>17</xdr:row>
      <xdr:rowOff>97155</xdr:rowOff>
    </xdr:from>
    <xdr:to>
      <xdr:col>9</xdr:col>
      <xdr:colOff>587375</xdr:colOff>
      <xdr:row>19</xdr:row>
      <xdr:rowOff>109855</xdr:rowOff>
    </xdr:to>
    <xdr:sp macro="" textlink="">
      <xdr:nvSpPr>
        <xdr:cNvPr id="41" name="TextBox 40">
          <a:extLst>
            <a:ext uri="{FF2B5EF4-FFF2-40B4-BE49-F238E27FC236}">
              <a16:creationId xmlns:a16="http://schemas.microsoft.com/office/drawing/2014/main" id="{A0E5041F-66FD-4D11-9CBA-D06872001D2A}"/>
            </a:ext>
          </a:extLst>
        </xdr:cNvPr>
        <xdr:cNvSpPr txBox="1"/>
      </xdr:nvSpPr>
      <xdr:spPr>
        <a:xfrm>
          <a:off x="3921125" y="3335655"/>
          <a:ext cx="215265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a:t>🏆</a:t>
          </a:r>
          <a:r>
            <a:rPr lang="en-US" sz="1100"/>
            <a:t> </a:t>
          </a:r>
          <a:r>
            <a:rPr lang="en-US" sz="1100">
              <a:solidFill>
                <a:schemeClr val="bg1"/>
              </a:solidFill>
            </a:rPr>
            <a:t> </a:t>
          </a:r>
          <a:r>
            <a:rPr lang="en-US" sz="1400">
              <a:solidFill>
                <a:schemeClr val="bg1"/>
              </a:solidFill>
            </a:rPr>
            <a:t>Top</a:t>
          </a:r>
          <a:r>
            <a:rPr lang="en-US" sz="1400" baseline="0">
              <a:solidFill>
                <a:schemeClr val="bg1"/>
              </a:solidFill>
            </a:rPr>
            <a:t> Anime By Rating</a:t>
          </a:r>
          <a:endParaRPr lang="en-US" sz="1400">
            <a:solidFill>
              <a:schemeClr val="bg1"/>
            </a:solidFill>
          </a:endParaRPr>
        </a:p>
      </xdr:txBody>
    </xdr:sp>
    <xdr:clientData/>
  </xdr:twoCellAnchor>
  <xdr:twoCellAnchor>
    <xdr:from>
      <xdr:col>9</xdr:col>
      <xdr:colOff>77554</xdr:colOff>
      <xdr:row>10</xdr:row>
      <xdr:rowOff>166312</xdr:rowOff>
    </xdr:from>
    <xdr:to>
      <xdr:col>10</xdr:col>
      <xdr:colOff>268054</xdr:colOff>
      <xdr:row>12</xdr:row>
      <xdr:rowOff>8921</xdr:rowOff>
    </xdr:to>
    <xdr:sp macro="" textlink="">
      <xdr:nvSpPr>
        <xdr:cNvPr id="42" name="TextBox 41">
          <a:extLst>
            <a:ext uri="{FF2B5EF4-FFF2-40B4-BE49-F238E27FC236}">
              <a16:creationId xmlns:a16="http://schemas.microsoft.com/office/drawing/2014/main" id="{DA8F39A7-EBE1-45FB-87E0-1D2C70E86E23}"/>
            </a:ext>
          </a:extLst>
        </xdr:cNvPr>
        <xdr:cNvSpPr txBox="1"/>
      </xdr:nvSpPr>
      <xdr:spPr>
        <a:xfrm>
          <a:off x="5563954" y="1995112"/>
          <a:ext cx="800100" cy="208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lumMod val="75000"/>
                </a:schemeClr>
              </a:solidFill>
            </a:rPr>
            <a:t>Total Views</a:t>
          </a:r>
        </a:p>
        <a:p>
          <a:endParaRPr lang="en-US" sz="1000">
            <a:solidFill>
              <a:srgbClr val="F4FBFE"/>
            </a:solidFill>
          </a:endParaRPr>
        </a:p>
      </xdr:txBody>
    </xdr:sp>
    <xdr:clientData/>
  </xdr:twoCellAnchor>
  <xdr:twoCellAnchor>
    <xdr:from>
      <xdr:col>16</xdr:col>
      <xdr:colOff>511894</xdr:colOff>
      <xdr:row>11</xdr:row>
      <xdr:rowOff>36773</xdr:rowOff>
    </xdr:from>
    <xdr:to>
      <xdr:col>18</xdr:col>
      <xdr:colOff>297180</xdr:colOff>
      <xdr:row>12</xdr:row>
      <xdr:rowOff>38101</xdr:rowOff>
    </xdr:to>
    <xdr:sp macro="" textlink="">
      <xdr:nvSpPr>
        <xdr:cNvPr id="43" name="TextBox 42">
          <a:extLst>
            <a:ext uri="{FF2B5EF4-FFF2-40B4-BE49-F238E27FC236}">
              <a16:creationId xmlns:a16="http://schemas.microsoft.com/office/drawing/2014/main" id="{39C48C97-F7B5-4671-9B4F-C2E0C6AA15D7}"/>
            </a:ext>
          </a:extLst>
        </xdr:cNvPr>
        <xdr:cNvSpPr txBox="1"/>
      </xdr:nvSpPr>
      <xdr:spPr>
        <a:xfrm>
          <a:off x="10265494" y="2048453"/>
          <a:ext cx="1004486" cy="184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lumMod val="75000"/>
                </a:schemeClr>
              </a:solidFill>
            </a:rPr>
            <a:t>Highest Rated</a:t>
          </a:r>
          <a:endParaRPr lang="en-US" sz="1000">
            <a:solidFill>
              <a:srgbClr val="F4FBFE"/>
            </a:solidFill>
          </a:endParaRPr>
        </a:p>
      </xdr:txBody>
    </xdr:sp>
    <xdr:clientData/>
  </xdr:twoCellAnchor>
  <xdr:twoCellAnchor>
    <xdr:from>
      <xdr:col>6</xdr:col>
      <xdr:colOff>144824</xdr:colOff>
      <xdr:row>47</xdr:row>
      <xdr:rowOff>168295</xdr:rowOff>
    </xdr:from>
    <xdr:to>
      <xdr:col>20</xdr:col>
      <xdr:colOff>20999</xdr:colOff>
      <xdr:row>55</xdr:row>
      <xdr:rowOff>10925</xdr:rowOff>
    </xdr:to>
    <xdr:sp macro="" textlink="">
      <xdr:nvSpPr>
        <xdr:cNvPr id="50" name="Rectangle: Rounded Corners 49">
          <a:extLst>
            <a:ext uri="{FF2B5EF4-FFF2-40B4-BE49-F238E27FC236}">
              <a16:creationId xmlns:a16="http://schemas.microsoft.com/office/drawing/2014/main" id="{2BE01186-22C7-477A-A6FC-CAC6D4826E8A}"/>
            </a:ext>
            <a:ext uri="{147F2762-F138-4A5C-976F-8EAC2B608ADB}">
              <a16:predDERef xmlns:a16="http://schemas.microsoft.com/office/drawing/2014/main" pred="{8C2D828D-BF51-CCC6-D400-D9DF75A8AB95}"/>
            </a:ext>
          </a:extLst>
        </xdr:cNvPr>
        <xdr:cNvSpPr/>
      </xdr:nvSpPr>
      <xdr:spPr>
        <a:xfrm>
          <a:off x="3775530" y="9121795"/>
          <a:ext cx="8347822" cy="1366630"/>
        </a:xfrm>
        <a:prstGeom prst="roundRect">
          <a:avLst/>
        </a:prstGeom>
        <a:solidFill>
          <a:srgbClr val="1E1A47">
            <a:alpha val="64706"/>
          </a:srgbClr>
        </a:solidFill>
        <a:ln w="12700">
          <a:solidFill>
            <a:srgbClr val="F4FBF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lvl="0" indent="0" algn="l"/>
          <a:r>
            <a:rPr lang="en-US" sz="2000">
              <a:solidFill>
                <a:schemeClr val="lt1"/>
              </a:solidFill>
              <a:latin typeface="+mn-lt"/>
              <a:ea typeface="+mn-lt"/>
              <a:cs typeface="+mn-lt"/>
            </a:rPr>
            <a:t>   </a:t>
          </a:r>
          <a:endParaRPr lang="en-US" sz="2400" b="1">
            <a:gradFill>
              <a:gsLst>
                <a:gs pos="0">
                  <a:srgbClr val="D54CB8"/>
                </a:gs>
                <a:gs pos="35000">
                  <a:srgbClr val="B053EB"/>
                </a:gs>
                <a:gs pos="100000">
                  <a:srgbClr val="7861F3"/>
                </a:gs>
              </a:gsLst>
              <a:lin ang="2700000" scaled="1"/>
            </a:gradFill>
            <a:latin typeface="+mn-lt"/>
            <a:ea typeface="+mn-lt"/>
            <a:cs typeface="+mn-lt"/>
          </a:endParaRPr>
        </a:p>
      </xdr:txBody>
    </xdr:sp>
    <xdr:clientData/>
  </xdr:twoCellAnchor>
  <xdr:twoCellAnchor>
    <xdr:from>
      <xdr:col>6</xdr:col>
      <xdr:colOff>286601</xdr:colOff>
      <xdr:row>50</xdr:row>
      <xdr:rowOff>10925</xdr:rowOff>
    </xdr:from>
    <xdr:to>
      <xdr:col>9</xdr:col>
      <xdr:colOff>419123</xdr:colOff>
      <xdr:row>54</xdr:row>
      <xdr:rowOff>60621</xdr:rowOff>
    </xdr:to>
    <xdr:sp macro="" textlink="">
      <xdr:nvSpPr>
        <xdr:cNvPr id="51" name="Rectangle: Rounded Corners 50">
          <a:extLst>
            <a:ext uri="{FF2B5EF4-FFF2-40B4-BE49-F238E27FC236}">
              <a16:creationId xmlns:a16="http://schemas.microsoft.com/office/drawing/2014/main" id="{4A09BB84-EE60-4084-86D2-EEC03E7F3902}"/>
            </a:ext>
          </a:extLst>
        </xdr:cNvPr>
        <xdr:cNvSpPr/>
      </xdr:nvSpPr>
      <xdr:spPr>
        <a:xfrm>
          <a:off x="3917307" y="9535925"/>
          <a:ext cx="1947875" cy="811696"/>
        </a:xfrm>
        <a:prstGeom prst="roundRect">
          <a:avLst/>
        </a:prstGeom>
        <a:solidFill>
          <a:srgbClr val="F371B5">
            <a:alpha val="2470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518514</xdr:colOff>
      <xdr:row>50</xdr:row>
      <xdr:rowOff>27491</xdr:rowOff>
    </xdr:from>
    <xdr:to>
      <xdr:col>13</xdr:col>
      <xdr:colOff>38122</xdr:colOff>
      <xdr:row>54</xdr:row>
      <xdr:rowOff>77187</xdr:rowOff>
    </xdr:to>
    <xdr:sp macro="" textlink="">
      <xdr:nvSpPr>
        <xdr:cNvPr id="52" name="Rectangle: Rounded Corners 51">
          <a:extLst>
            <a:ext uri="{FF2B5EF4-FFF2-40B4-BE49-F238E27FC236}">
              <a16:creationId xmlns:a16="http://schemas.microsoft.com/office/drawing/2014/main" id="{C8760568-120A-45B2-BC11-15CF366B9BCF}"/>
            </a:ext>
          </a:extLst>
        </xdr:cNvPr>
        <xdr:cNvSpPr/>
      </xdr:nvSpPr>
      <xdr:spPr>
        <a:xfrm>
          <a:off x="5964573" y="9552491"/>
          <a:ext cx="1940078" cy="811696"/>
        </a:xfrm>
        <a:prstGeom prst="roundRect">
          <a:avLst/>
        </a:prstGeom>
        <a:solidFill>
          <a:srgbClr val="22C1DF">
            <a:alpha val="2470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137513</xdr:colOff>
      <xdr:row>50</xdr:row>
      <xdr:rowOff>35772</xdr:rowOff>
    </xdr:from>
    <xdr:to>
      <xdr:col>16</xdr:col>
      <xdr:colOff>270035</xdr:colOff>
      <xdr:row>54</xdr:row>
      <xdr:rowOff>85468</xdr:rowOff>
    </xdr:to>
    <xdr:sp macro="" textlink="">
      <xdr:nvSpPr>
        <xdr:cNvPr id="53" name="Rectangle: Rounded Corners 52">
          <a:extLst>
            <a:ext uri="{FF2B5EF4-FFF2-40B4-BE49-F238E27FC236}">
              <a16:creationId xmlns:a16="http://schemas.microsoft.com/office/drawing/2014/main" id="{15768FE0-6C36-496B-A392-3FE2145A5FE0}"/>
            </a:ext>
          </a:extLst>
        </xdr:cNvPr>
        <xdr:cNvSpPr/>
      </xdr:nvSpPr>
      <xdr:spPr>
        <a:xfrm>
          <a:off x="8004042" y="9560772"/>
          <a:ext cx="1947875" cy="811696"/>
        </a:xfrm>
        <a:prstGeom prst="roundRect">
          <a:avLst/>
        </a:prstGeom>
        <a:solidFill>
          <a:srgbClr val="34D399">
            <a:alpha val="2509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361144</xdr:colOff>
      <xdr:row>50</xdr:row>
      <xdr:rowOff>44055</xdr:rowOff>
    </xdr:from>
    <xdr:to>
      <xdr:col>19</xdr:col>
      <xdr:colOff>493666</xdr:colOff>
      <xdr:row>54</xdr:row>
      <xdr:rowOff>93751</xdr:rowOff>
    </xdr:to>
    <xdr:sp macro="" textlink="">
      <xdr:nvSpPr>
        <xdr:cNvPr id="54" name="Rectangle: Rounded Corners 53">
          <a:extLst>
            <a:ext uri="{FF2B5EF4-FFF2-40B4-BE49-F238E27FC236}">
              <a16:creationId xmlns:a16="http://schemas.microsoft.com/office/drawing/2014/main" id="{3288F794-1A13-4684-82D9-D6DC36929D8E}"/>
            </a:ext>
          </a:extLst>
        </xdr:cNvPr>
        <xdr:cNvSpPr/>
      </xdr:nvSpPr>
      <xdr:spPr>
        <a:xfrm>
          <a:off x="10043026" y="9569055"/>
          <a:ext cx="1947875" cy="811696"/>
        </a:xfrm>
        <a:prstGeom prst="roundRect">
          <a:avLst/>
        </a:prstGeom>
        <a:solidFill>
          <a:srgbClr val="F87171">
            <a:alpha val="2509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382507</xdr:colOff>
      <xdr:row>50</xdr:row>
      <xdr:rowOff>74353</xdr:rowOff>
    </xdr:from>
    <xdr:to>
      <xdr:col>9</xdr:col>
      <xdr:colOff>71692</xdr:colOff>
      <xdr:row>54</xdr:row>
      <xdr:rowOff>49287</xdr:rowOff>
    </xdr:to>
    <xdr:sp macro="" textlink="">
      <xdr:nvSpPr>
        <xdr:cNvPr id="55" name="TextBox 54">
          <a:extLst>
            <a:ext uri="{FF2B5EF4-FFF2-40B4-BE49-F238E27FC236}">
              <a16:creationId xmlns:a16="http://schemas.microsoft.com/office/drawing/2014/main" id="{676FB3CB-5EE5-49D7-BD94-EEAA3D7C62F6}"/>
            </a:ext>
          </a:extLst>
        </xdr:cNvPr>
        <xdr:cNvSpPr txBox="1"/>
      </xdr:nvSpPr>
      <xdr:spPr>
        <a:xfrm>
          <a:off x="4013213" y="9599353"/>
          <a:ext cx="1504538" cy="736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rgbClr val="F9B9DB"/>
              </a:solidFill>
            </a:rPr>
            <a:t>TOP</a:t>
          </a:r>
          <a:r>
            <a:rPr lang="en-US" sz="900" baseline="0">
              <a:solidFill>
                <a:srgbClr val="F9B9DB"/>
              </a:solidFill>
            </a:rPr>
            <a:t> PLATFORM</a:t>
          </a:r>
        </a:p>
        <a:p>
          <a:r>
            <a:rPr lang="en-US" sz="1400">
              <a:solidFill>
                <a:schemeClr val="bg1"/>
              </a:solidFill>
            </a:rPr>
            <a:t>Crunchyroll</a:t>
          </a:r>
        </a:p>
        <a:p>
          <a:r>
            <a:rPr lang="en-US" sz="1600" b="1">
              <a:solidFill>
                <a:srgbClr val="F371B5"/>
              </a:solidFill>
            </a:rPr>
            <a:t>13.24M viewers</a:t>
          </a:r>
          <a:endParaRPr lang="en-US" sz="1600" b="1">
            <a:solidFill>
              <a:schemeClr val="bg2">
                <a:lumMod val="10000"/>
              </a:schemeClr>
            </a:solidFill>
          </a:endParaRPr>
        </a:p>
      </xdr:txBody>
    </xdr:sp>
    <xdr:clientData/>
  </xdr:twoCellAnchor>
  <xdr:twoCellAnchor>
    <xdr:from>
      <xdr:col>9</xdr:col>
      <xdr:colOff>587242</xdr:colOff>
      <xdr:row>50</xdr:row>
      <xdr:rowOff>80307</xdr:rowOff>
    </xdr:from>
    <xdr:to>
      <xdr:col>12</xdr:col>
      <xdr:colOff>276426</xdr:colOff>
      <xdr:row>54</xdr:row>
      <xdr:rowOff>55241</xdr:rowOff>
    </xdr:to>
    <xdr:sp macro="" textlink="">
      <xdr:nvSpPr>
        <xdr:cNvPr id="56" name="TextBox 55">
          <a:extLst>
            <a:ext uri="{FF2B5EF4-FFF2-40B4-BE49-F238E27FC236}">
              <a16:creationId xmlns:a16="http://schemas.microsoft.com/office/drawing/2014/main" id="{6E7B5ACE-32A8-4213-854C-5A01EB311025}"/>
            </a:ext>
          </a:extLst>
        </xdr:cNvPr>
        <xdr:cNvSpPr txBox="1"/>
      </xdr:nvSpPr>
      <xdr:spPr>
        <a:xfrm>
          <a:off x="6033301" y="9605307"/>
          <a:ext cx="1504537" cy="736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aseline="0">
              <a:solidFill>
                <a:srgbClr val="B9EBF5"/>
              </a:solidFill>
            </a:rPr>
            <a:t>MOST POPULAR</a:t>
          </a:r>
        </a:p>
        <a:p>
          <a:r>
            <a:rPr lang="en-US" sz="1400">
              <a:solidFill>
                <a:schemeClr val="bg1"/>
              </a:solidFill>
            </a:rPr>
            <a:t>Attack</a:t>
          </a:r>
          <a:r>
            <a:rPr lang="en-US" sz="1400" baseline="0">
              <a:solidFill>
                <a:schemeClr val="bg1"/>
              </a:solidFill>
            </a:rPr>
            <a:t> on Titan</a:t>
          </a:r>
          <a:endParaRPr lang="en-US" sz="1400">
            <a:solidFill>
              <a:schemeClr val="bg1"/>
            </a:solidFill>
          </a:endParaRPr>
        </a:p>
        <a:p>
          <a:r>
            <a:rPr lang="en-US" sz="1600" b="1">
              <a:solidFill>
                <a:srgbClr val="22C1DF"/>
              </a:solidFill>
            </a:rPr>
            <a:t>2.3M members </a:t>
          </a:r>
        </a:p>
      </xdr:txBody>
    </xdr:sp>
    <xdr:clientData/>
  </xdr:twoCellAnchor>
  <xdr:twoCellAnchor>
    <xdr:from>
      <xdr:col>13</xdr:col>
      <xdr:colOff>241961</xdr:colOff>
      <xdr:row>50</xdr:row>
      <xdr:rowOff>104120</xdr:rowOff>
    </xdr:from>
    <xdr:to>
      <xdr:col>15</xdr:col>
      <xdr:colOff>538364</xdr:colOff>
      <xdr:row>54</xdr:row>
      <xdr:rowOff>79054</xdr:rowOff>
    </xdr:to>
    <xdr:sp macro="" textlink="">
      <xdr:nvSpPr>
        <xdr:cNvPr id="57" name="TextBox 56">
          <a:extLst>
            <a:ext uri="{FF2B5EF4-FFF2-40B4-BE49-F238E27FC236}">
              <a16:creationId xmlns:a16="http://schemas.microsoft.com/office/drawing/2014/main" id="{1E0FE666-0592-4A19-BD6A-4B8EEFAAD923}"/>
            </a:ext>
          </a:extLst>
        </xdr:cNvPr>
        <xdr:cNvSpPr txBox="1"/>
      </xdr:nvSpPr>
      <xdr:spPr>
        <a:xfrm>
          <a:off x="8108490" y="9629120"/>
          <a:ext cx="1506639" cy="736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aseline="0">
              <a:solidFill>
                <a:srgbClr val="C1F1E0"/>
              </a:solidFill>
            </a:rPr>
            <a:t>MOST VIEWERSHIP</a:t>
          </a:r>
        </a:p>
        <a:p>
          <a:r>
            <a:rPr lang="en-US" sz="1400">
              <a:solidFill>
                <a:schemeClr val="bg1"/>
              </a:solidFill>
            </a:rPr>
            <a:t>US</a:t>
          </a:r>
        </a:p>
        <a:p>
          <a:r>
            <a:rPr lang="en-US" sz="1600" b="1">
              <a:solidFill>
                <a:srgbClr val="34D399"/>
              </a:solidFill>
            </a:rPr>
            <a:t>10.97M viewers </a:t>
          </a:r>
        </a:p>
      </xdr:txBody>
    </xdr:sp>
    <xdr:clientData/>
  </xdr:twoCellAnchor>
  <xdr:twoCellAnchor>
    <xdr:from>
      <xdr:col>16</xdr:col>
      <xdr:colOff>464985</xdr:colOff>
      <xdr:row>50</xdr:row>
      <xdr:rowOff>94827</xdr:rowOff>
    </xdr:from>
    <xdr:to>
      <xdr:col>19</xdr:col>
      <xdr:colOff>152717</xdr:colOff>
      <xdr:row>54</xdr:row>
      <xdr:rowOff>69761</xdr:rowOff>
    </xdr:to>
    <xdr:sp macro="" textlink="">
      <xdr:nvSpPr>
        <xdr:cNvPr id="58" name="TextBox 57">
          <a:extLst>
            <a:ext uri="{FF2B5EF4-FFF2-40B4-BE49-F238E27FC236}">
              <a16:creationId xmlns:a16="http://schemas.microsoft.com/office/drawing/2014/main" id="{C8A5C84B-CF81-4C08-B82F-DEEAB9FE7D86}"/>
            </a:ext>
          </a:extLst>
        </xdr:cNvPr>
        <xdr:cNvSpPr txBox="1"/>
      </xdr:nvSpPr>
      <xdr:spPr>
        <a:xfrm>
          <a:off x="10146867" y="9619827"/>
          <a:ext cx="1503085" cy="736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aseline="0">
              <a:solidFill>
                <a:srgbClr val="FAA4A4"/>
              </a:solidFill>
            </a:rPr>
            <a:t>PEAK YEAR </a:t>
          </a:r>
        </a:p>
        <a:p>
          <a:r>
            <a:rPr lang="en-US" sz="1400">
              <a:solidFill>
                <a:schemeClr val="bg1"/>
              </a:solidFill>
            </a:rPr>
            <a:t>2026 Projection</a:t>
          </a:r>
          <a:r>
            <a:rPr lang="en-US" sz="1400" baseline="0">
              <a:solidFill>
                <a:schemeClr val="bg1"/>
              </a:solidFill>
            </a:rPr>
            <a:t> </a:t>
          </a:r>
          <a:endParaRPr lang="en-US" sz="1400">
            <a:solidFill>
              <a:schemeClr val="bg1"/>
            </a:solidFill>
          </a:endParaRPr>
        </a:p>
        <a:p>
          <a:r>
            <a:rPr lang="en-US" sz="1600" b="1">
              <a:solidFill>
                <a:srgbClr val="F87171"/>
              </a:solidFill>
            </a:rPr>
            <a:t>100 anime</a:t>
          </a:r>
          <a:r>
            <a:rPr lang="en-US" sz="1600" b="1" baseline="0">
              <a:solidFill>
                <a:srgbClr val="F87171"/>
              </a:solidFill>
            </a:rPr>
            <a:t> </a:t>
          </a:r>
          <a:r>
            <a:rPr lang="en-US" sz="1600" b="1">
              <a:solidFill>
                <a:srgbClr val="F87171"/>
              </a:solidFill>
            </a:rPr>
            <a:t> </a:t>
          </a:r>
        </a:p>
      </xdr:txBody>
    </xdr:sp>
    <xdr:clientData/>
  </xdr:twoCellAnchor>
  <xdr:twoCellAnchor>
    <xdr:from>
      <xdr:col>6</xdr:col>
      <xdr:colOff>146369</xdr:colOff>
      <xdr:row>48</xdr:row>
      <xdr:rowOff>58622</xdr:rowOff>
    </xdr:from>
    <xdr:to>
      <xdr:col>8</xdr:col>
      <xdr:colOff>461680</xdr:colOff>
      <xdr:row>49</xdr:row>
      <xdr:rowOff>104605</xdr:rowOff>
    </xdr:to>
    <xdr:sp macro="" textlink="">
      <xdr:nvSpPr>
        <xdr:cNvPr id="59" name="TextBox 58">
          <a:extLst>
            <a:ext uri="{FF2B5EF4-FFF2-40B4-BE49-F238E27FC236}">
              <a16:creationId xmlns:a16="http://schemas.microsoft.com/office/drawing/2014/main" id="{1B09ECAD-E933-49F3-88D6-D8A5184BF039}"/>
            </a:ext>
          </a:extLst>
        </xdr:cNvPr>
        <xdr:cNvSpPr txBox="1"/>
      </xdr:nvSpPr>
      <xdr:spPr>
        <a:xfrm>
          <a:off x="3777075" y="9202622"/>
          <a:ext cx="1525546" cy="236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a:t>
          </a:r>
          <a:r>
            <a:rPr lang="en-US" sz="1100" b="1">
              <a:solidFill>
                <a:schemeClr val="bg1"/>
              </a:solidFill>
            </a:rPr>
            <a:t>Key</a:t>
          </a:r>
          <a:r>
            <a:rPr lang="en-US" sz="1100" b="1" baseline="0">
              <a:solidFill>
                <a:schemeClr val="bg1"/>
              </a:solidFill>
            </a:rPr>
            <a:t> Insights</a:t>
          </a:r>
          <a:endParaRPr lang="en-US" sz="1100" b="1">
            <a:solidFill>
              <a:schemeClr val="bg1"/>
            </a:solidFill>
          </a:endParaRPr>
        </a:p>
      </xdr:txBody>
    </xdr:sp>
    <xdr:clientData/>
  </xdr:twoCellAnchor>
  <xdr:twoCellAnchor>
    <xdr:from>
      <xdr:col>6</xdr:col>
      <xdr:colOff>277905</xdr:colOff>
      <xdr:row>19</xdr:row>
      <xdr:rowOff>71718</xdr:rowOff>
    </xdr:from>
    <xdr:to>
      <xdr:col>12</xdr:col>
      <xdr:colOff>322729</xdr:colOff>
      <xdr:row>30</xdr:row>
      <xdr:rowOff>44823</xdr:rowOff>
    </xdr:to>
    <xdr:graphicFrame macro="">
      <xdr:nvGraphicFramePr>
        <xdr:cNvPr id="47" name="Chart 46">
          <a:extLst>
            <a:ext uri="{FF2B5EF4-FFF2-40B4-BE49-F238E27FC236}">
              <a16:creationId xmlns:a16="http://schemas.microsoft.com/office/drawing/2014/main" id="{2BF41253-BA5A-4C91-A43B-993152D0D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430305</xdr:colOff>
      <xdr:row>19</xdr:row>
      <xdr:rowOff>53788</xdr:rowOff>
    </xdr:from>
    <xdr:to>
      <xdr:col>19</xdr:col>
      <xdr:colOff>322728</xdr:colOff>
      <xdr:row>30</xdr:row>
      <xdr:rowOff>80682</xdr:rowOff>
    </xdr:to>
    <xdr:graphicFrame macro="">
      <xdr:nvGraphicFramePr>
        <xdr:cNvPr id="48" name="Chart 47">
          <a:extLst>
            <a:ext uri="{FF2B5EF4-FFF2-40B4-BE49-F238E27FC236}">
              <a16:creationId xmlns:a16="http://schemas.microsoft.com/office/drawing/2014/main" id="{999A0EE6-7214-450A-B95E-9BEAE923E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295835</xdr:colOff>
      <xdr:row>34</xdr:row>
      <xdr:rowOff>143435</xdr:rowOff>
    </xdr:from>
    <xdr:to>
      <xdr:col>19</xdr:col>
      <xdr:colOff>376519</xdr:colOff>
      <xdr:row>45</xdr:row>
      <xdr:rowOff>35859</xdr:rowOff>
    </xdr:to>
    <xdr:graphicFrame macro="">
      <xdr:nvGraphicFramePr>
        <xdr:cNvPr id="49" name="Chart 48">
          <a:extLst>
            <a:ext uri="{FF2B5EF4-FFF2-40B4-BE49-F238E27FC236}">
              <a16:creationId xmlns:a16="http://schemas.microsoft.com/office/drawing/2014/main" id="{F2F0E60C-AF31-48CF-A951-5B4D5DE4A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xdr:col>
      <xdr:colOff>409575</xdr:colOff>
      <xdr:row>20</xdr:row>
      <xdr:rowOff>47066</xdr:rowOff>
    </xdr:from>
    <xdr:to>
      <xdr:col>5</xdr:col>
      <xdr:colOff>361950</xdr:colOff>
      <xdr:row>31</xdr:row>
      <xdr:rowOff>9525</xdr:rowOff>
    </xdr:to>
    <mc:AlternateContent xmlns:mc="http://schemas.openxmlformats.org/markup-compatibility/2006" xmlns:a14="http://schemas.microsoft.com/office/drawing/2010/main">
      <mc:Choice Requires="a14">
        <xdr:graphicFrame macro="">
          <xdr:nvGraphicFramePr>
            <xdr:cNvPr id="60" name="Date.3.1 2">
              <a:extLst>
                <a:ext uri="{FF2B5EF4-FFF2-40B4-BE49-F238E27FC236}">
                  <a16:creationId xmlns:a16="http://schemas.microsoft.com/office/drawing/2014/main" id="{CA7BF03A-5531-443C-BF3E-5AD24509E35C}"/>
                </a:ext>
              </a:extLst>
            </xdr:cNvPr>
            <xdr:cNvGraphicFramePr/>
          </xdr:nvGraphicFramePr>
          <xdr:xfrm>
            <a:off x="0" y="0"/>
            <a:ext cx="0" cy="0"/>
          </xdr:xfrm>
          <a:graphic>
            <a:graphicData uri="http://schemas.microsoft.com/office/drawing/2010/slicer">
              <sle:slicer xmlns:sle="http://schemas.microsoft.com/office/drawing/2010/slicer" name="Date.3.1 2"/>
            </a:graphicData>
          </a:graphic>
        </xdr:graphicFrame>
      </mc:Choice>
      <mc:Fallback xmlns="">
        <xdr:sp macro="" textlink="">
          <xdr:nvSpPr>
            <xdr:cNvPr id="0" name=""/>
            <xdr:cNvSpPr>
              <a:spLocks noTextEdit="1"/>
            </xdr:cNvSpPr>
          </xdr:nvSpPr>
          <xdr:spPr>
            <a:xfrm>
              <a:off x="1019175" y="3857066"/>
              <a:ext cx="2390775" cy="20579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450184</xdr:colOff>
      <xdr:row>16</xdr:row>
      <xdr:rowOff>176701</xdr:rowOff>
    </xdr:from>
    <xdr:to>
      <xdr:col>4</xdr:col>
      <xdr:colOff>56124</xdr:colOff>
      <xdr:row>18</xdr:row>
      <xdr:rowOff>143084</xdr:rowOff>
    </xdr:to>
    <xdr:sp macro="" textlink="">
      <xdr:nvSpPr>
        <xdr:cNvPr id="36" name="TextBox 35">
          <a:extLst>
            <a:ext uri="{FF2B5EF4-FFF2-40B4-BE49-F238E27FC236}">
              <a16:creationId xmlns:a16="http://schemas.microsoft.com/office/drawing/2014/main" id="{7E5B0FF6-4E72-418D-8F6B-FF4ADA8F08EA}"/>
            </a:ext>
          </a:extLst>
        </xdr:cNvPr>
        <xdr:cNvSpPr txBox="1"/>
      </xdr:nvSpPr>
      <xdr:spPr>
        <a:xfrm>
          <a:off x="1059784" y="3224701"/>
          <a:ext cx="1434740" cy="347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FILTERS</a:t>
          </a:r>
        </a:p>
      </xdr:txBody>
    </xdr:sp>
    <xdr:clientData/>
  </xdr:twoCellAnchor>
  <xdr:twoCellAnchor editAs="oneCell">
    <xdr:from>
      <xdr:col>1</xdr:col>
      <xdr:colOff>409575</xdr:colOff>
      <xdr:row>31</xdr:row>
      <xdr:rowOff>95251</xdr:rowOff>
    </xdr:from>
    <xdr:to>
      <xdr:col>5</xdr:col>
      <xdr:colOff>352425</xdr:colOff>
      <xdr:row>39</xdr:row>
      <xdr:rowOff>171451</xdr:rowOff>
    </xdr:to>
    <mc:AlternateContent xmlns:mc="http://schemas.openxmlformats.org/markup-compatibility/2006" xmlns:a14="http://schemas.microsoft.com/office/drawing/2010/main">
      <mc:Choice Requires="a14">
        <xdr:graphicFrame macro="">
          <xdr:nvGraphicFramePr>
            <xdr:cNvPr id="44" name="Region 1">
              <a:extLst>
                <a:ext uri="{FF2B5EF4-FFF2-40B4-BE49-F238E27FC236}">
                  <a16:creationId xmlns:a16="http://schemas.microsoft.com/office/drawing/2014/main" id="{937189A7-CF34-4D02-A63B-07776E1181E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19175" y="6000751"/>
              <a:ext cx="2381250" cy="1600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381000</xdr:colOff>
      <xdr:row>42</xdr:row>
      <xdr:rowOff>104775</xdr:rowOff>
    </xdr:from>
    <xdr:to>
      <xdr:col>5</xdr:col>
      <xdr:colOff>476250</xdr:colOff>
      <xdr:row>48</xdr:row>
      <xdr:rowOff>66675</xdr:rowOff>
    </xdr:to>
    <xdr:sp macro="" textlink="">
      <xdr:nvSpPr>
        <xdr:cNvPr id="45" name="Rectangle: Rounded Corners 44">
          <a:hlinkClick xmlns:r="http://schemas.openxmlformats.org/officeDocument/2006/relationships" r:id="rId14"/>
          <a:extLst>
            <a:ext uri="{FF2B5EF4-FFF2-40B4-BE49-F238E27FC236}">
              <a16:creationId xmlns:a16="http://schemas.microsoft.com/office/drawing/2014/main" id="{AC427C4E-9722-7192-AA4C-80E5A1038F5B}"/>
            </a:ext>
          </a:extLst>
        </xdr:cNvPr>
        <xdr:cNvSpPr/>
      </xdr:nvSpPr>
      <xdr:spPr>
        <a:xfrm>
          <a:off x="990600" y="8105775"/>
          <a:ext cx="2533650" cy="1104900"/>
        </a:xfrm>
        <a:prstGeom prst="roundRect">
          <a:avLst/>
        </a:prstGeom>
        <a:solidFill>
          <a:srgbClr val="B6EFFC"/>
        </a:solid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371475</xdr:colOff>
      <xdr:row>49</xdr:row>
      <xdr:rowOff>38100</xdr:rowOff>
    </xdr:from>
    <xdr:to>
      <xdr:col>5</xdr:col>
      <xdr:colOff>466725</xdr:colOff>
      <xdr:row>55</xdr:row>
      <xdr:rowOff>0</xdr:rowOff>
    </xdr:to>
    <xdr:sp macro="" textlink="">
      <xdr:nvSpPr>
        <xdr:cNvPr id="46" name="Rectangle: Rounded Corners 45">
          <a:extLst>
            <a:ext uri="{FF2B5EF4-FFF2-40B4-BE49-F238E27FC236}">
              <a16:creationId xmlns:a16="http://schemas.microsoft.com/office/drawing/2014/main" id="{A9E6EBF0-F0CA-516C-A738-B0AE1DE55553}"/>
            </a:ext>
          </a:extLst>
        </xdr:cNvPr>
        <xdr:cNvSpPr/>
      </xdr:nvSpPr>
      <xdr:spPr>
        <a:xfrm>
          <a:off x="981075" y="9372600"/>
          <a:ext cx="2533650" cy="1104900"/>
        </a:xfrm>
        <a:prstGeom prst="roundRect">
          <a:avLst/>
        </a:prstGeom>
        <a:solidFill>
          <a:srgbClr val="B6EFFC">
            <a:alpha val="65098"/>
          </a:srgbClr>
        </a:solid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428624</xdr:colOff>
      <xdr:row>43</xdr:row>
      <xdr:rowOff>104775</xdr:rowOff>
    </xdr:from>
    <xdr:to>
      <xdr:col>4</xdr:col>
      <xdr:colOff>542925</xdr:colOff>
      <xdr:row>47</xdr:row>
      <xdr:rowOff>95250</xdr:rowOff>
    </xdr:to>
    <xdr:sp macro="" textlink="">
      <xdr:nvSpPr>
        <xdr:cNvPr id="61" name="TextBox 60">
          <a:hlinkClick xmlns:r="http://schemas.openxmlformats.org/officeDocument/2006/relationships" r:id="rId14"/>
          <a:extLst>
            <a:ext uri="{FF2B5EF4-FFF2-40B4-BE49-F238E27FC236}">
              <a16:creationId xmlns:a16="http://schemas.microsoft.com/office/drawing/2014/main" id="{5CAB6C8A-6F2F-D76F-BA75-C70EC5B35CBC}"/>
            </a:ext>
          </a:extLst>
        </xdr:cNvPr>
        <xdr:cNvSpPr txBox="1"/>
      </xdr:nvSpPr>
      <xdr:spPr>
        <a:xfrm>
          <a:off x="1647824" y="8296275"/>
          <a:ext cx="1333501" cy="752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gradFill>
                <a:gsLst>
                  <a:gs pos="0">
                    <a:schemeClr val="tx1">
                      <a:lumMod val="95000"/>
                      <a:lumOff val="5000"/>
                    </a:schemeClr>
                  </a:gs>
                  <a:gs pos="45000">
                    <a:srgbClr val="1F1B45"/>
                  </a:gs>
                  <a:gs pos="100000">
                    <a:srgbClr val="1F1B45"/>
                  </a:gs>
                </a:gsLst>
                <a:lin ang="2700000" scaled="1"/>
              </a:gradFill>
            </a:rPr>
            <a:t>GENRE WISE </a:t>
          </a:r>
        </a:p>
      </xdr:txBody>
    </xdr:sp>
    <xdr:clientData/>
  </xdr:twoCellAnchor>
  <xdr:twoCellAnchor>
    <xdr:from>
      <xdr:col>2</xdr:col>
      <xdr:colOff>380999</xdr:colOff>
      <xdr:row>50</xdr:row>
      <xdr:rowOff>38100</xdr:rowOff>
    </xdr:from>
    <xdr:to>
      <xdr:col>4</xdr:col>
      <xdr:colOff>552450</xdr:colOff>
      <xdr:row>54</xdr:row>
      <xdr:rowOff>28575</xdr:rowOff>
    </xdr:to>
    <xdr:sp macro="" textlink="">
      <xdr:nvSpPr>
        <xdr:cNvPr id="62" name="TextBox 61">
          <a:extLst>
            <a:ext uri="{FF2B5EF4-FFF2-40B4-BE49-F238E27FC236}">
              <a16:creationId xmlns:a16="http://schemas.microsoft.com/office/drawing/2014/main" id="{E6059E53-8067-93D9-60F5-897D697BC888}"/>
            </a:ext>
          </a:extLst>
        </xdr:cNvPr>
        <xdr:cNvSpPr txBox="1"/>
      </xdr:nvSpPr>
      <xdr:spPr>
        <a:xfrm>
          <a:off x="1600199" y="9563100"/>
          <a:ext cx="1390651" cy="752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lt1"/>
              </a:solidFill>
            </a:rPr>
            <a:t>PLATFORM WISE </a:t>
          </a:r>
        </a:p>
      </xdr:txBody>
    </xdr:sp>
    <xdr:clientData/>
  </xdr:twoCellAnchor>
  <xdr:twoCellAnchor editAs="oneCell">
    <xdr:from>
      <xdr:col>22</xdr:col>
      <xdr:colOff>0</xdr:colOff>
      <xdr:row>47</xdr:row>
      <xdr:rowOff>0</xdr:rowOff>
    </xdr:from>
    <xdr:to>
      <xdr:col>22</xdr:col>
      <xdr:colOff>304800</xdr:colOff>
      <xdr:row>48</xdr:row>
      <xdr:rowOff>114300</xdr:rowOff>
    </xdr:to>
    <xdr:sp macro="" textlink="">
      <xdr:nvSpPr>
        <xdr:cNvPr id="6145" name="AutoShape 1">
          <a:extLst>
            <a:ext uri="{FF2B5EF4-FFF2-40B4-BE49-F238E27FC236}">
              <a16:creationId xmlns:a16="http://schemas.microsoft.com/office/drawing/2014/main" id="{124CA6A0-20E4-CB40-E8C7-17E1B48AFBF3}"/>
            </a:ext>
          </a:extLst>
        </xdr:cNvPr>
        <xdr:cNvSpPr>
          <a:spLocks noChangeAspect="1" noChangeArrowheads="1"/>
        </xdr:cNvSpPr>
      </xdr:nvSpPr>
      <xdr:spPr bwMode="auto">
        <a:xfrm>
          <a:off x="13411200" y="895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25</xdr:col>
      <xdr:colOff>0</xdr:colOff>
      <xdr:row>43</xdr:row>
      <xdr:rowOff>0</xdr:rowOff>
    </xdr:from>
    <xdr:to>
      <xdr:col>25</xdr:col>
      <xdr:colOff>304800</xdr:colOff>
      <xdr:row>44</xdr:row>
      <xdr:rowOff>114300</xdr:rowOff>
    </xdr:to>
    <xdr:sp macro="" textlink="">
      <xdr:nvSpPr>
        <xdr:cNvPr id="6146" name="AutoShape 2">
          <a:extLst>
            <a:ext uri="{FF2B5EF4-FFF2-40B4-BE49-F238E27FC236}">
              <a16:creationId xmlns:a16="http://schemas.microsoft.com/office/drawing/2014/main" id="{59497CA7-BE43-98C0-ACF5-4DF7F936FF87}"/>
            </a:ext>
          </a:extLst>
        </xdr:cNvPr>
        <xdr:cNvSpPr>
          <a:spLocks noChangeAspect="1" noChangeArrowheads="1"/>
        </xdr:cNvSpPr>
      </xdr:nvSpPr>
      <xdr:spPr bwMode="auto">
        <a:xfrm>
          <a:off x="15240000" y="819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25</xdr:col>
      <xdr:colOff>-1</xdr:colOff>
      <xdr:row>42</xdr:row>
      <xdr:rowOff>190499</xdr:rowOff>
    </xdr:from>
    <xdr:to>
      <xdr:col>27</xdr:col>
      <xdr:colOff>285749</xdr:colOff>
      <xdr:row>50</xdr:row>
      <xdr:rowOff>176892</xdr:rowOff>
    </xdr:to>
    <xdr:sp macro="" textlink="">
      <xdr:nvSpPr>
        <xdr:cNvPr id="6147" name="AutoShape 3">
          <a:extLst>
            <a:ext uri="{FF2B5EF4-FFF2-40B4-BE49-F238E27FC236}">
              <a16:creationId xmlns:a16="http://schemas.microsoft.com/office/drawing/2014/main" id="{CD584C57-F34F-F5E5-DF43-9CFC16747426}"/>
            </a:ext>
          </a:extLst>
        </xdr:cNvPr>
        <xdr:cNvSpPr>
          <a:spLocks noChangeAspect="1" noChangeArrowheads="1"/>
        </xdr:cNvSpPr>
      </xdr:nvSpPr>
      <xdr:spPr bwMode="auto">
        <a:xfrm>
          <a:off x="15308035" y="8191499"/>
          <a:ext cx="1510393" cy="151039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18</xdr:col>
      <xdr:colOff>390525</xdr:colOff>
      <xdr:row>2</xdr:row>
      <xdr:rowOff>178256</xdr:rowOff>
    </xdr:from>
    <xdr:to>
      <xdr:col>19</xdr:col>
      <xdr:colOff>447021</xdr:colOff>
      <xdr:row>4</xdr:row>
      <xdr:rowOff>5434</xdr:rowOff>
    </xdr:to>
    <xdr:pic>
      <xdr:nvPicPr>
        <xdr:cNvPr id="66" name="Picture 65">
          <a:extLst>
            <a:ext uri="{FF2B5EF4-FFF2-40B4-BE49-F238E27FC236}">
              <a16:creationId xmlns:a16="http://schemas.microsoft.com/office/drawing/2014/main" id="{6AABFC25-73AF-0B42-CC03-E98B8BA6F0A1}"/>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1363325" y="559256"/>
          <a:ext cx="666096" cy="20817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Book4.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rush Taluja" refreshedDate="46120.110456365743" createdVersion="8" refreshedVersion="8" minRefreshableVersion="3" recordCount="623" xr:uid="{E781BFF7-A50B-4E32-88EE-363BEE17DCC0}">
  <cacheSource type="worksheet">
    <worksheetSource name="Sheet1"/>
  </cacheSource>
  <cacheFields count="7">
    <cacheField name="Anime Title" numFmtId="0">
      <sharedItems count="623">
        <s v="Sousou no Frieren 2nd Season"/>
        <s v="Jujutsu Kaisen: Shimetsu Kaiyuu - Zenpen"/>
        <s v="Jigokuraku 2nd Season"/>
        <s v="Yuusha-kei ni Shosu: Choubatsu Yuusha 9004-tai Keimu Kiroku"/>
        <s v="[Oshi no Ko] 3rd Season"/>
        <s v="Enen no Shouboutai: San no Shou Part 2"/>
        <s v="Fate/strange Fake"/>
        <s v="Yuusha Party wo Oidasareta Kiyoubinbou"/>
        <s v="Mato Seihei no Slave 2"/>
        <s v="Shibou Yuugi de Meshi wo Kuu."/>
        <s v="Vigilante: Boku no Hero Academia Illegals 2nd Season"/>
        <s v="Yuusha Party ni Kawaii Ko ga Ita node, Kokuhaku shitemita."/>
        <s v="Mayonaka Heart Tune"/>
        <s v="Uruwashi no Yoi no Tsuki"/>
        <s v="Kizoku Tensei: Megumareta Umare kara Saikyou no Chikara wo Eru"/>
        <s v="Trigun Stargaze"/>
        <s v="Okiraku Ryoushu no Tanoshii Ryouchi Bouei: Seisankei Majutsu de Na mo Naki Mura wo Saikyou no Jousai Toshi ni"/>
        <s v="Majutsushi Kunon wa Mieteiru"/>
        <s v="Hell Mode: Yarikomizuki no Gamer wa Hai Settei no Isekai de Musou suru"/>
        <s v="Golden Kamuy: Saishuushou"/>
        <s v="Eris no Seihai"/>
        <s v="Toumei Otoko to Ningen Onna: Sonouchi Fuufu ni Naru Futari"/>
        <s v="Isekai no Sata wa Shachiku Shidai"/>
        <s v="&quot;Omae Gotoki ga Maou ni Kateru to Omouna&quot; to Yuusha Party wo Tsuihou sareta node, Outo de Kimama ni Kurashitai"/>
        <s v="Akuyaku Reijou wa Ringoku no Outaishi ni Dekiai sareru"/>
        <s v="Darwin Jihen"/>
        <s v="Maou no Musume wa Yasashisugiru!!"/>
        <s v="Kirei ni Shitemoraemasu ka."/>
        <s v="Medalist 2nd Season"/>
        <s v="29-sai Dokushin Chuuken Boukensha no Nichijou"/>
        <s v="Champignon no Majo"/>
        <s v="Hanazakari no Kimitachi e"/>
        <s v="MF Ghost 3rd Season"/>
        <s v="Yuusha no Kuzu"/>
        <s v="Jingai Kyoushitsu no Ningengirai Kyoushi"/>
        <s v="Arne no Jikenbo"/>
        <s v="Goumon Baito-kun no Nichijou"/>
        <s v="Douse, Koishite Shimaunda. 2nd Season"/>
        <s v="Jigoku Sensei Nube (2025) Part 2"/>
        <s v="Ao no Miburo: Serizawa Ansatsu-hen"/>
        <s v="Yoroi Shin Den Samurai Troopers"/>
        <s v="Hikuidori: Ushuu Boro Tobi-gumi"/>
        <s v="Saioshi no Gikei wo Mederu Tame, Nagaiki shimasu!"/>
        <s v="Meitantei Precure!"/>
        <s v="High School! Kimengumi (2026)"/>
        <s v="Yami Shibai 16"/>
        <s v="Hokuto no Ken: Kenougun Zako-tachi no Banka"/>
        <s v="Cardfight!! Vanguard: Divinez Genma Seisen-hen"/>
        <s v="One Piece"/>
        <s v="Meitantei Conan"/>
        <s v="Fumetsu no Anata e Season 3"/>
        <s v="Chitose-kun wa Ramune Bin no Naka"/>
        <s v="Toujima Tanzaburou wa Kamen Rider ni Naritai"/>
        <s v="Gnosia"/>
        <s v="Ao no Orchestra Season 2"/>
        <s v="Sazae-san"/>
        <s v="SI-VIS: The Sound of Heroes"/>
        <s v="Chibi Maruko-chan (1995)"/>
        <s v="Ganglion"/>
        <s v="Princession Orchestra"/>
        <s v="Koupen-chan"/>
        <s v="Ninjala (TV)"/>
        <s v="Steel Ball Run: JoJo no Kimyou na Bouken"/>
        <s v="Chou Kaguya-hime!"/>
        <s v="Prism Rondo"/>
        <s v="Baki-dou"/>
        <s v="Mushen Ji"/>
        <s v="Wanmei Shijie"/>
        <s v="Doupo Cangqiong: Nian Fan"/>
        <s v="Tian Guan Cifu Short Films"/>
        <s v="Douluo Dalu II: Jueshi Tangmen"/>
        <s v="Tunshi Xingkong 4th Season"/>
        <s v="Yu-Gi-Oh! Card Game: The Chronicles"/>
        <s v="Lian Qi Shi Wan Nian"/>
        <s v="Wei Miao Rensheng"/>
        <s v="Yu Ling Shi"/>
        <s v="Guangyin Zhi Wai"/>
        <s v="Jian Lai 2nd Season"/>
        <s v="Shen Mu: Nian Fan"/>
        <s v="Shenkong Bi An"/>
        <s v="Tian Xiang"/>
        <s v="Shanhai Jing Mima"/>
        <s v="Noto Hantou Fukkou Ouen Kikaku"/>
        <s v="All You Need Is Kill"/>
        <s v="Hanarokushou ga Akeru Hi ni"/>
        <s v="Ginga Tokkyuu Milky☆Subway Movie: Kakueki Teisha Gekijou Yuki"/>
        <s v="Watashi ga Koibito ni Nareru Wake Nai jan, Muri Muri! (※Muri ja Nakatta!?) (TV Special)"/>
        <s v="Evangelion: Housou 30-shuunen Kinen Tokubetsu Kougyou"/>
        <s v="Tensui no Sakuna-hime: Kokorowa Inasaku Nisshi"/>
        <s v="Princess Principal: Crown Handler 4 - Fabulous Platypus"/>
        <s v="Tensei shitara Slime Datta Ken 4th Season"/>
        <s v="Otonari no Tenshi-sama ni Itsunomanika Dame Ningen ni Sareteita Ken 2"/>
        <s v="Dr. Stone: Science Future Part 3"/>
        <s v="Honzuki no Gekokujou: Shisho ni Naru Tame ni wa Shudan wo Erandeiraremasen - Ryoushu no Youjo"/>
        <s v="Mairimashita! Iruma-kun 4th Season"/>
        <s v="Koori no Jouheki"/>
        <s v="Kanan-sama wa Akumade Choroi"/>
        <s v="Saikyou no Shokugyou wa Yuusha demo Kenja demo Naku Kanteishi (Kari) Rashii desu yo?"/>
        <s v="Nigashita Sakana wa Ookikatta ga Tsuriageta Sakana ga Ookisugita Ken"/>
        <s v="Dorohedoro Season 2"/>
        <s v="Ore dake Level Up na Ken Season 2: Arise from the Shadow"/>
        <s v="Sakamoto Days"/>
        <s v="Kusuriya no Hitorigoto 2nd Season"/>
        <s v="Dr. Stone: Science Future"/>
        <s v="Kimi no Koto ga Daidaidaidaidaisuki na 100-nin no Kanojo 2nd Season"/>
        <s v="Zenshuu."/>
        <s v="Class no Daikirai na Joshi to Kekkon suru Koto ni Natta."/>
        <s v="Watashi no Shiawase na Kekkon 2nd Season"/>
        <s v="Guild no Uketsukejou desu ga, Zangyou wa Iya nanode Boss wo Solo Toubatsu Shiyou to Omoimasu"/>
        <s v="Kono Kaisha ni Suki na Hito ga Imasu"/>
        <s v="Fuguushoku &quot;Kanteishi&quot; ga Jitsu wa Saikyou Datta"/>
        <s v="Honey Lemon Soda"/>
        <s v="Kuroiwa Medaka ni Watashi no Kawaii ga Tsuujinai"/>
        <s v="Izure Saikyou no Renkinjutsushi?"/>
        <s v="Salaryman ga Isekai ni Ittara Shitennou ni Natta Hanashi"/>
        <s v="A-Rank Party wo Ridatsu shita Ore wa, Moto Oshiego-tachi to Meikyuu Shinbu wo Mezasu."/>
        <s v="Hazure Skill &quot;Kinomi Master&quot;: Skill no Mi (Tabetara Shinu) wo Mugen ni Taberareru You ni Natta Ken ni Tsuite"/>
        <s v="Around 40 Otoko no Isekai Tsuuhan"/>
        <s v="Ameku Takao no Suiri Karte"/>
        <s v="Medalist"/>
        <s v="Botsuraku Yotei no Kizoku dakedo, Hima Datta kara Mahou wo Kiwametemita"/>
        <s v="Okinawa de Suki ni Natta Ko ga Hougen Sugite Tsurasugiru"/>
        <s v="Sentai Red Isekai de Boukensha ni Naru"/>
        <s v="Unnamed Memory Act.2"/>
        <s v="Momentary Lily"/>
        <s v="Mahoutsukai Precure!! Mirai Days"/>
        <s v="Sousei no Aquarion: Myth of Emotions"/>
        <s v="Re:Zero kara Hajimeru Isekai Seikatsu 3rd Season"/>
        <s v="Ao no Hako"/>
        <s v="Chi. Chikyuu no Undou ni Tsuite"/>
        <s v="Shangri-La Frontier: Kusoge Hunter, Kamige ni Idoman to su 2nd Season"/>
        <s v="Dungeon ni Deai wo Motomeru no wa Machigatteiru Darou ka V: Houjou no Megami-hen"/>
        <s v="Arifureta Shokugyou de Sekai Saikyou Season 3"/>
        <s v="Dragon Ball Daima"/>
        <s v="Kimi to Boku no Saigo no Senjou, Aruiwa Sekai ga Hajimaru Seisen Season II"/>
        <s v="Amagami-san Chi no Enmusubi"/>
        <s v="Yu☆Gi☆Oh! Go Rush!!"/>
        <s v="Tousouchuu: Great Mission"/>
        <s v="Chao Neng Lifang: Chaofan Pian"/>
        <s v="Princess Connect! Michibiki no Hatsuhana: Fiore Storia"/>
        <s v="Nomo no Kuni"/>
        <s v="Sorairo Utility x Birdie Wing: Golf Girls' Story Mini Anime"/>
        <s v="Koi no Yu♨️Talk"/>
        <s v="Huo Feng Liao Yuan Er"/>
        <s v="Xiang Huo Er Sheng"/>
        <s v="Junzi Wu Ji"/>
        <s v="Fanren Xiu Xian Zhuan: Xu Tian Zhan Ji"/>
        <s v="Shaonian Ge Xing: Xue Ran Tianqi Pian"/>
        <s v="Petit Forma: Denhan Kyoku Nisshi"/>
        <s v="Tianming Da Zhuzai"/>
        <s v="Zui Qiang Shengji"/>
        <s v="Hazure Skill &quot;Kinomi Master&quot;: Skill no Mi (Tabetara Shinu) wo Mugen ni Taberareru You ni Natta Ken ni Tsuite Mini Anime"/>
        <s v="Aka no Kioku"/>
        <s v="Kidou Senshi Gundam: GQuuuuuuX - Beginning"/>
        <s v="Aldnoah.Zero: Ame no Danshou - The Penultimate Truth"/>
        <s v="Momentary Lily: Tsuzuiteiku Kappou, Kappou!"/>
        <s v="Fate/Grand Order: Fujimaru Ritsuka wa Wakaranai Season 2 Specials"/>
        <s v="Dandadan 2nd Season"/>
        <s v="Gachiakuta"/>
        <s v="Sono Bisque Doll wa Koi wo Suru Season 2"/>
        <s v="Kaoru Hana wa Rin to Saku"/>
        <s v="Kaijuu 8-gou 2nd Season"/>
        <s v="Hikaru ga Shinda Natsu"/>
        <s v="Sakamoto Days Part 2"/>
        <s v="Yofukashi no Uta Season 2"/>
        <s v="Silent Witch: Chinmoku no Majo no Kakushigoto"/>
        <s v="Seishun Buta Yarou wa Santa Claus no Yume wo Minai"/>
        <s v="Grand Blue Season 2"/>
        <s v="Mizu Zokusei no Mahoutsukai"/>
        <s v="Clevatess: Majuu no Ou to Akago to Shikabane no Yuusha"/>
        <s v="Tate no Yuusha no Nariagari Season 4"/>
        <s v="Tensei shitara Dainana Ouji Datta node, Kimama ni Majutsu wo Kiwamemasu 2nd Season"/>
        <s v="Isekai Mokushiroku Mynoghra: Hametsu no Bunmei de Hajimeru Sekai Seifuku"/>
        <s v="Mikadono Sanshimai wa Angai, Choroi."/>
        <s v="Kanojo, Okarishimasu 4th Season"/>
        <s v="Yuusha Party wo Tsuihou sareta Shiromadoushi, S-Rank Boukensha ni Hirowareru: Kono Shiromadoushi ga Kikakugai Sugiru"/>
        <s v="Tsuyokute New Saga"/>
        <s v="Watari-kun no xx ga Houkai Sunzen"/>
        <s v="Zutaboro Reijou wa Ane no Moto Konyakusha ni Dekiai sareru"/>
        <s v="Yami Shibai 15"/>
        <s v="Witch Watch"/>
        <s v="Shin Samurai-den Yaiba"/>
        <s v="Takopii no Genzai"/>
        <s v="Tu Bian Yingxiong X"/>
        <s v="Guimi Zhi Zhu: Xiaochou Pian"/>
        <s v="Xin Yichang Shengwu Jianwen Lu: Xu"/>
        <s v="Oogiri New Saga"/>
        <s v="Ling Tian Du Zun"/>
        <s v="Idobata Kaigi de New Saga"/>
        <s v="Ano Hi no Kanojo-tachi: Day 09 - Miu Takigawa"/>
        <s v="Shuangsheng Wu Hun"/>
        <s v="Tsuihou Shiromadoushi Mini Anime"/>
        <s v="Chainsaw Man Movie: Reze-hen"/>
        <s v="Kimetsu no Yaiba Movie 1: Mugenjou-hen - Akaza Sairai"/>
        <s v="Hyakuemu."/>
        <s v="Kimetsu no Yaiba Movie: Mugenjou-hen Manner Eizou"/>
        <s v="Langlang Shan Xiao Yaoguai"/>
        <s v="Silent Witch: Chinmoku no Majo no Kakushigoto - Sennyuu Kiroku"/>
        <s v="9: Ruler's Crown - Branch X"/>
        <s v="Enen no Shouboutai: San no Shou"/>
        <s v="Wind Breaker Season 2"/>
        <s v="Katainaka no Ossan, Kensei ni Naru"/>
        <s v="Saikyou no Ousama, Nidome no Jinsei wa Nani wo Suru?"/>
        <s v="Isshun de Chiryou shiteita noni Yakutatazu to Tsuihou sareta Tensai Chiyushi, Yami Healer toshite Tanoshiku Ikiru"/>
        <s v="Haite Kudasai, Takamine-san"/>
        <s v="Slime Taoshite 300-nen, Shiranai Uchi ni Level Max ni Nattemashita: Sono Ni"/>
        <s v="Shiunji-ke no Kodomotachi"/>
        <s v="Uma Musume: Cinderella Gray"/>
        <s v="Kanpekisugite Kawaige ga Nai to Konyaku Haki sareta Seijo wa Ringoku ni Urareru"/>
        <s v="Aharen-san wa Hakarenai Season 2"/>
        <s v="Apocalypse Hotel"/>
        <s v="Ninja to Koroshiya no Futarigurashi"/>
        <s v="Classic★Stars"/>
        <s v="Kanchigai no Atelier Meister Mini Anime"/>
        <s v="Shenguo Zhi Shang"/>
        <s v="Wo de Shixiong Tai Qiang Le"/>
        <s v="Terra Live"/>
        <s v="Yujin Xingzhe"/>
        <s v="Tsurezure PoPiPa"/>
        <s v="Ke Jin Wanjia"/>
        <s v="Wangzhe Rongyao: Rongyao Zhi Zhang - Mingyun Pian"/>
        <s v="Tun Tian Ji"/>
        <s v="Princess Principal: Crown Handler 4"/>
        <s v="Lupin the IIIrd the Movie: Fujimi no Ketsuzoku"/>
        <s v="Hyakushou Kizoku 2nd Season Specials"/>
        <s v="One Punch Man 3"/>
        <s v="Spy x Family Season 3"/>
        <s v="Boku no Hero Academia: Final Season"/>
        <s v="Ansatsusha de Aru Ore no Status ga Yuusha yori mo Akiraka ni Tsuyoi no da ga"/>
        <s v="Saigo ni Hitotsu dake Onegai shitemo Yoroshii deshou ka"/>
        <s v="Tondemo Skill de Isekai Hourou Meshi 2"/>
        <s v="Tomodachi no Imouto ga Ore ni dake Uzai"/>
        <s v="Yasei no Last Boss ga Arawareta!"/>
        <s v="Sanda"/>
        <s v="Towa no Yuugure"/>
        <s v="Watashi wo Tabetai, Hitodenashi"/>
        <s v="Uma Musume: Cinderella Gray Part 2"/>
        <s v="Monster Strike: Deadverse Reloaded"/>
        <s v="Xian Di Guilai"/>
        <s v="Xuan Jie Zhi Men"/>
        <s v="Aoshi Dan Shen"/>
        <s v="Jiu Yang Wushen"/>
        <s v="Ugoku! Neko Mukashibanashi"/>
        <s v="Koala Enikki"/>
        <s v="Kikaijikake no Marie Mini Anime"/>
        <s v="One Punch Man 2nd Season: Ichigeki de Wakaru! Maji Furikaeri!"/>
        <s v="Ore dake Level Up na Ken"/>
        <s v="Dungeon Meshi"/>
        <s v="Youkoso Jitsuryoku Shijou Shugi no Kyoushitsu e 3rd Season"/>
        <s v="Mashle: Shinkakusha Kouho Senbatsu Shiken-hen"/>
        <s v="Yubisaki to Renren"/>
        <s v="Tsuki ga Michibiku Isekai Douchuu 2nd Season"/>
        <s v="Chiyu Mahou no Machigatta Tsukaikata"/>
        <s v="Boku no Kokoro no Yabai Yatsu 2nd Season"/>
        <s v="Mato Seihei no Slave"/>
        <s v="Loop 7-kaime no Akuyaku Reijou wa, Moto Tekikoku de Jiyuu Kimama na Hanayome Seikatsu wo Mankitsu suru"/>
        <s v="Dosanko Gal wa Namara Menkoi"/>
        <s v="Akuyaku Reijou Level 99: Watashi wa Ura-Boss desu ga Maou dewa Arimasen"/>
        <s v="Mahou Shoujo ni Akogarete"/>
        <s v="Sokushi Cheat ga Saikyou sugite, Isekai no Yatsura ga Marude Aite ni Naranai n desu ga."/>
        <s v="Majo to Yajuu"/>
        <s v="Ao no Exorcist: Shimane Illuminati-hen"/>
        <s v="Shin no Nakama ja Nai to Yuusha no Party wo Oidasareta node, Henkyou de Slow Life suru Koto ni Shimashita 2nd"/>
        <s v="Kekkon Yubiwa Monogatari"/>
        <s v="Saijaku Tamer wa Gomi Hiroi no Tabi wo Hajimemashita."/>
        <s v="Ishura"/>
        <s v="Gekai Elise"/>
        <s v="Metallic Rouge"/>
        <s v="Kyuujitsu no Warumono-san"/>
        <s v="Isekai de Mofumofu Nadenade suru Tame ni Ganbattemasu."/>
        <s v="High Card Season 2"/>
        <s v="Harimaware! Koinu"/>
        <s v="Sousou no Frieren"/>
        <s v="Kusuriya no Hitorigoto"/>
        <s v="Shangri-La Frontier: Kusoge Hunter, Kamige ni Idoman to su"/>
        <s v="Undead Unluck"/>
        <s v="Ragna Crimson"/>
        <s v="Dog Signal"/>
        <s v="Aishang Ta de Liyou Extra"/>
        <s v="MF Ghost Battle Digest"/>
        <s v="Xiao Lu He Xiao Lan V: Mofa Pian"/>
        <s v="Lili Kurong"/>
        <s v="Guonian Zhe Lianmeng: Xun Long Ji"/>
        <s v="Kuang Wang"/>
        <s v="Bridge: My Little Friends"/>
        <s v="Holostars★Survival: Oretachi no Kaitaku Seikatsu"/>
        <s v="Shenlong Xing Zhu"/>
        <s v="SINoALICE: Ichiban Saigo no Monogatari"/>
        <s v="Amedama"/>
        <s v="Science SARU x MBS Original Short Anime Daisakusen!"/>
        <s v="The iDOLM@STER Million Live!: The Backstage"/>
        <s v="[Oshi no Ko] 2nd Season"/>
        <s v="Tokidoki Bosotto Russia-go de Dereru Tonari no Alya-san"/>
        <s v="Make Heroine ga Oosugiru!"/>
        <s v="Kami no Tou: Ouji no Kikan"/>
        <s v="Shikanoko Nokonoko Koshitantan"/>
        <s v="Isekai Shikkaku"/>
        <s v="Hazurewaku no &quot;Joutai Ijou Skill&quot; de Saikyou ni Natta Ore ga Subete wo Juurin suru made"/>
        <s v="Giji Harem"/>
        <s v="Ore wa Subete wo &quot;Parry&quot; suru: Gyaku Kanchigai no Sekai Saikyou wa Boukensha ni Naritai"/>
        <s v="2.5-jigen no Ririsa"/>
        <s v="Naze Boku no Sekai wo Daremo Oboeteinai no ka?"/>
        <s v="Boku no Hero Academia 7th Season"/>
        <s v="Tensei shitara Slime Datta Ken 3rd Season"/>
        <s v="Ookami to Koushinryou: Merchant Meets the Wise Wolf"/>
        <s v="Koneko no Chi: Ponponraa Natsuyasumi"/>
        <s v="You Shou Yan 4th Season"/>
        <s v="Liselotte no Wakuwaku Magical Shoukai"/>
        <s v="Ling Wu Dalu"/>
        <s v="Feng Ling Yu Xiu 2nd Season Special"/>
        <s v="Zhui Xu 2nd Season"/>
        <s v="Nian Wushuang"/>
        <s v="Shixiong A Shixiong 3rd Season"/>
        <s v="Tian Ying"/>
        <s v="Wujin Shenyu"/>
        <s v="Yishi Du Zun 2nd Season"/>
        <s v="Jiu Wo"/>
        <s v="New Jersey and Enterprise's Beach Vacation"/>
        <s v="San Shaonu"/>
        <s v="Kimetsu no Yaiba: Hashira Geiko-hen"/>
        <s v="Kaijuu 8-gou"/>
        <s v="Mushoku Tensei II: Isekai Ittara Honki Dasu Part 2"/>
        <s v="Kono Subarashii Sekai ni Shukufuku wo! 3"/>
        <s v="Wind Breaker"/>
        <s v="Tensei shitara Dainana Ouji Datta node, Kimama ni Majutsu wo Kiwamemasu"/>
        <s v="Lv2 kara Cheat datta Motoyuusha Kouho no Mattari Isekai Life"/>
        <s v="Maou Gakuin no Futekigousha II: Shijou Saikyou no Maou no Shiso, Tensei shite Shison-tachi no Gakkou e Kayou Part 2"/>
        <s v="Tensei Kizoku, Kantei Skill de Nariagaru"/>
        <s v="Re:Monster"/>
        <s v="Jiisan Baasan Wakagaeru"/>
        <s v="Yoru no Kurage wa Oyogenai"/>
        <s v="Kami wa Game ni Ueteiru."/>
        <s v="Kenka Dokugaku"/>
        <s v="Shibuya♡Hachi"/>
        <s v="Nyaaaanvy"/>
        <s v="You Shou Yan 3rd Season"/>
        <s v="Hui Ming: Fenghuo San Yue"/>
        <s v="Juan Siliang 2nd Season"/>
        <s v="San Xiu Zhi Wang"/>
        <s v="Shen Zhi Yi Jiao"/>
        <s v="Xiaobing Chuanqi"/>
        <s v="Jiandao Di Yi Xian 2nd Season"/>
        <s v="Ludi Jian Xian"/>
        <s v="Fudanshi Shoukan: Isekai de Shinjuu ni Hameraremashita 7th Season"/>
        <s v="Harinezumi no Luchika"/>
        <s v="Shi Dao Zhe"/>
        <s v="Look Back"/>
        <s v="First Line"/>
        <s v="Shadowverse Flame: Seven Shadows-hen Recap"/>
        <s v="Shadowverse Flame: Arc-hen Recaps"/>
        <s v="Dandadan"/>
        <s v="Bleach: Sennen Kessen-hen - Soukoku-tan"/>
        <s v="Uzumaki"/>
        <s v="Seirei Gensouki 2"/>
        <s v="Ranma ½ (2024)"/>
        <s v="Nageki no Bourei wa Intai shitai"/>
        <s v="Raise wa Tanin ga Ii"/>
        <s v="Kami no Tou: Koubou-sen"/>
        <s v="Kekkon suru tte, Hontou desu ka"/>
        <s v="Kamierabi 2nd Season"/>
        <s v="Wan Jie Du Zun 3rd Season"/>
        <s v="Dushi Gu Xian Yi"/>
        <s v="Zongmen Li Chule Wo Dou Shi Wodi"/>
        <s v="Tudi Ge Ge Shi Da Lao"/>
        <s v="Hu He Yao Shi Lu"/>
        <s v="Naoe-kun wa Yasesasetai. (ONA)"/>
        <s v="Wo Neng Wuxian Dunwu"/>
        <s v="Wangu Zui Qiang Zong"/>
        <s v="Nintama Rantarou Movie: Dokutake Ninja Tai Saikyou no Gunshi"/>
        <s v="Kidou Senshi Gundam: ALC Encounter"/>
        <s v="Vinland Saga Season 2"/>
        <s v="Tomo-chan wa Onnanoko!"/>
        <s v="Otonari no Tenshi-sama ni Itsunomanika Dame Ningen ni Sareteita Ken"/>
        <s v="Tokyo Revengers: Seiya Kessen-hen"/>
        <s v="Maou Gakuin no Futekigousha II: Shijou Saikyou no Maou no Shiso, Tensei shite Shison-tachi no Gakkou e Kayou"/>
        <s v="Bungou Stray Dogs 4th Season"/>
        <s v="Buddy Daddies"/>
        <s v="NieR:Automata Ver1.1a"/>
        <s v="Tondemo Skill de Isekai Hourou Meshi"/>
        <s v="Ijiranaide, Nagatoro-san 2nd Attack"/>
        <s v="Dungeon ni Deai wo Motomeru no wa Machigatteiru Darou ka IV: Shin Shou - Yakusai-hen"/>
        <s v="Itai no wa Iya nanode Bougyoryoku ni Kyokufuri Shitai to Omoimasu. 2"/>
        <s v="Kubo-san wa Mob wo Yurusanai"/>
        <s v="Trigun Stampede"/>
        <s v="Tensei Oujo to Tensai Reijou no Mahou Kakumei"/>
        <s v="Benriya Saitou-san, Isekai ni Iku"/>
        <s v="Kyokou Suiri Season 2"/>
        <s v="Eiyuuou, Bu wo Kiwameru Tame Tenseisu: Soshite, Sekai Saikyou no Minarai Kishi♀"/>
        <s v="Sugar Apple Fairy Tale"/>
        <s v="Kami-tachi ni Hirowareta Otoko 2nd Season"/>
        <s v="Boruto: Naruto Next Generations"/>
        <s v="Blue Lock"/>
        <s v="Kage no Jitsuryokusha ni Naritakute!"/>
        <s v="Boku no Hero Academia 6th Season"/>
        <s v="Isekai Ojisan"/>
        <s v="Fumetsu no Anata e Season 2"/>
        <s v="Cool Doji Danshi"/>
        <s v="Fate/Grand Order: Fujimaru Ritsuka wa Wakaranai"/>
        <s v="Hua Jianghu: Bu Liang Ren VI"/>
        <s v="Jiuzhou Piaomiao Lu"/>
        <s v="Tsuru ga Mau Yoru ni"/>
        <s v="Xi Xing Ji: Anying Mo Cheng"/>
        <s v="Moshi Meta: Moshi Joshikousei ga Metaverse de Miko ni Nattara"/>
        <s v="Wander Burabura Bakkamu"/>
        <s v="Mushoku Tensei II: Isekai Ittara Honki Dasu"/>
        <s v="Zom 100: Zombie ni Naru made ni Shitai 100 no Koto"/>
        <s v="Bleach: Sennen Kessen-hen - Ketsubetsu-tan"/>
        <s v="Watashi no Shiawase na Kekkon"/>
        <s v="Masamune-kun no Revenge R"/>
        <s v="Kanojo, Okarishimasu 3rd Season"/>
        <s v="Undead Girl Murder Farce"/>
        <s v="Hataraku Maou-sama!! 2nd Season"/>
        <s v="Higeki no Genkyou to Naru Saikyou Gedou Last Boss Joou wa Tami no Tame ni Tsukushimasu."/>
        <s v="Temple"/>
        <s v="Shinigami Bocchan to Kuro Maid 2nd Season"/>
        <s v="Shiguang Dailiren II"/>
        <s v="Tonikaku Kawaii: Joshikou-hen"/>
        <s v="Xiao Lu He Xiao Lan III: Mo Wang Pian"/>
        <s v="Shi Fang Jian Sheng"/>
        <s v="Eldraine no Mori: Twin Fates"/>
        <s v="Wu Ying Sanqian Dao 2nd Season"/>
        <s v="Synduality: Kagaku Kouza"/>
        <s v="Guaishou Xiao Guan"/>
        <s v="Mo Zhuang Chuanshuo"/>
        <s v="Jinyi Shen Jiang"/>
        <s v="Azur Lane 5th Anniversary: The Best Gift From Enterprise"/>
        <s v="Mushoku Tensei II: Isekai Ittara Honki Dasu - Shugo Jutsushi Fitz"/>
        <s v="[Oshi no Ko]"/>
        <s v="Jigokuraku"/>
        <s v="Mashle"/>
        <s v="Tengoku Daimakyou"/>
        <s v="Dr. Stone: New World"/>
        <s v="Yamada-kun to Lv999 no Koi wo Suru"/>
        <s v="Boku no Kokoro no Yabai Yatsu"/>
        <s v="Kono Subarashii Sekai ni Bakuen wo!"/>
        <s v="Isekai de Cheat Skill wo Te ni Shita Ore wa, Genjitsu Sekai wo mo Musou Suru: Level Up wa Jinsei wo Kaeta"/>
        <s v="Skip to Loafer"/>
        <s v="Kimi wa Houkago Insomnia"/>
        <s v="Mahoutsukai no Yome Season 2"/>
        <s v="Kanojo ga Koushaku-tei ni Itta Riyuu"/>
        <s v="Isekai wa Smartphone to Tomo ni. 2"/>
        <s v="Megami no Café Terrace"/>
        <s v="Ousama Ranking: Yuuki no Takarabako"/>
        <s v="Yuusha ga Shinda!"/>
        <s v="YouTuNya"/>
        <s v="Genjitsu no Rimuru: Sunshine in the Slime"/>
        <s v="Qing Lian Jian Xian Zhuan"/>
        <s v="Jiu Tian Xuan Di Jue 4th Season"/>
        <s v="Fudanshi Shoukan: Isekai de Shinjuu ni Hameraremashita 5th Season"/>
        <s v="Black Clover: Mahou Tei no Ken"/>
        <s v="Shin Shinka no Mi Gekijou Special"/>
        <s v="Spy x Family Season 2"/>
        <s v="Kage no Jitsuryokusha ni Naritakute! 2nd Season"/>
        <s v="Tate no Yuusha no Nariagari Season 3"/>
        <s v="Dr. Stone: New World Part 2"/>
        <s v="Goblin Slayer II"/>
        <s v="Kimi no Koto ga Daidaidaidaidaisuki na 100-nin no Kanojo"/>
        <s v="Tokyo Revengers: Tenjiku-hen"/>
        <s v="Boushoku no Berserk"/>
        <s v="Keikenzumi na Kimi to, Keiken Zero na Ore ga, Otsukiai suru Hanashi."/>
        <s v="Seiken Gakuin no Makentsukai"/>
        <s v="Saihate no Paladin: Tetsusabi no Yama no Ou"/>
        <s v="Pluto"/>
        <s v="Zaiyuki Pilot"/>
        <s v="Xiao Lu He Xiao Lan IV: Mofa Pian"/>
        <s v="Shaonian Ge Xing: Haiwai Xianshan Pian"/>
        <s v="Shen Cang"/>
        <s v="Shenyuan Youxi"/>
        <s v="Bokura no Ame-iro Protocol Mini Anime"/>
        <s v="Otome Game no Hametsu Flag shika Nai Akuyaku Reijou ni Tensei shiteshimatta... Movie Honpen Mae Special Eizou"/>
        <s v="Sanshiliu Qi"/>
        <s v="Hua Jianghu: Tiangang"/>
        <s v="Quan Zhi Ming"/>
        <s v="Spy x Family Movie: Code: White"/>
        <s v="Kimetsu no Yaiba: Yuukaku-hen"/>
        <s v="Shingeki no Kyojin: The Final Season Part 2"/>
        <s v="Sono Bisque Doll wa Koi wo Suru"/>
        <s v="Arifureta Shokugyou de Sekai Saikyou 2nd Season"/>
        <s v="Vanitas no Karte Part 2"/>
        <s v="Shikkakumon no Saikyou Kenja"/>
        <s v="Sabikui Bisco"/>
        <s v="Sasaki to Miyano"/>
        <s v="Akebi-chan no Sailor-fuku"/>
        <s v="Karakai Jouzu no Takagi-san 3"/>
        <s v="Orient"/>
        <s v="Ousama Ranking"/>
        <s v="86 Part 2"/>
        <s v="Platinum End"/>
        <s v="Shaman King (2021)"/>
        <s v="Kotarou wa Hitorigurashi"/>
        <s v="Uchuu Camper Chicchi"/>
        <s v="SpoGomi: World Cup Exhibition Match-hen"/>
        <s v="Tenjin"/>
        <s v="Zhen Dao Ge: Chenshi Hang"/>
        <s v="Inzai Aru Aru Monogatari"/>
        <s v="Mao Zhi Ming Specials"/>
        <s v="Ore, Tsushima x Na Mo Naki Nezumi"/>
        <s v="Youkoso Jitsuryoku Shijou Shugi no Kyoushitsu e 2nd Season"/>
        <s v="Yofukashi no Uta"/>
        <s v="Overlord IV"/>
        <s v="Lycoris Recoil"/>
        <s v="Made in Abyss: Retsujitsu no Ougonkyou"/>
        <s v="Hataraku Maou-sama!!"/>
        <s v="Kanojo, Okarishimasu 2nd Season"/>
        <s v="Dungeon ni Deai wo Motomeru no wa Machigatteiru Darou ka IV: Shin Shou - Meikyuu-hen"/>
        <s v="Isekai Yakkyoku"/>
        <s v="Kumichou Musume to Sewagakari"/>
        <s v="Tensei Kenja no Isekai Life: Dai-2 no Shokugyou wo Ete, Sekai Saikyou ni Narimashita"/>
        <s v="Shadows House 2nd Season"/>
        <s v="JoJo no Kimyou na Bouken Part 6: Stone Ocean Part 2"/>
        <s v="Yi Nian Yong Heng 2nd Season"/>
        <s v="Zhu Xian"/>
        <s v="Li Ba Shanhe Xi Zitang"/>
        <s v="MyGO!!!!! Member no Nichijou"/>
        <s v="Xi Xing Ji: Qiong Qi Didong"/>
        <s v="Anata no France wa Donna Tokoro?"/>
        <s v="Midnight Grand Mos Burger"/>
        <s v="Natsu e no Tunnel, Sayonara no Deguchi"/>
        <s v="Dr. Stone: Ryuusui"/>
        <s v="Shadowverse Flame Recaps"/>
        <s v="Spy x Family"/>
        <s v="Tate no Yuusha no Nariagari Season 2"/>
        <s v="Komi-san wa, Comyushou desu. 2nd Season"/>
        <s v="Tomodachi Game"/>
        <s v="Aharen-san wa Hakarenai"/>
        <s v="Gaikotsu Kishi-sama, Tadaima Isekai e Odekakechuu"/>
        <s v="Yuusha, Yamemasu"/>
        <s v="Shijou Saikyou no Daimaou, Murabito A ni Tensei suru"/>
        <s v="Paripi Koumei"/>
        <s v="Date A Live IV"/>
        <s v="Xinghe Zhizun 2nd Season"/>
        <s v="Xiaoke de Huatu Xie Hua Specials"/>
        <s v="Jewelpet: Attack Travel!"/>
        <s v="Shaonian Ge Xing: Feng Hua Xue Yue Pian Special"/>
        <s v="Rebirth: Yuu vs. Great-O-Khan"/>
        <s v="5-toubun no Hanayome Movie"/>
        <s v="Usagi (Special)"/>
        <s v="DEathMAtCH: Real ni Koishiteru"/>
        <s v="Mob Psycho 100 III"/>
        <s v="Bocchi the Rock!"/>
        <s v="Bleach: Sennen Kessen-hen"/>
        <s v="Uzaki-chan wa Asobitai! Double"/>
        <s v="JoJo no Kimyou na Bouken Part 6: Stone Ocean Part 3"/>
        <s v="Suzume no Tojimari"/>
        <s v="Fresh Peach"/>
        <s v="Shingeki no Kyojin: The Final Season"/>
        <s v="Horimiya"/>
        <s v="Dr. Stone: Stone Wars"/>
        <s v="Yakusoku no Neverland 2nd Season"/>
        <s v="Wonder Egg Priority"/>
        <s v="5-toubun no Hanayome ∬"/>
        <s v="SK∞"/>
        <s v="Kumo desu ga, Nani ka?"/>
        <s v="Beastars 2nd Season"/>
        <s v="Nanatsu no Taizai: Funnu no Shinpan"/>
        <s v="Jaku-Chara Tomozaki-kun"/>
        <s v="Ore dake Haireru Kakushi Dungeon"/>
        <s v="Kemono Jihen"/>
        <s v="Tatoeba Last Dungeon Mae no Mura no Shounen ga Joban no Machi de Kurasu Youna Monogatari"/>
        <s v="Hataraku Saibou!!"/>
        <s v="Yuru Camp△ Season 2"/>
        <s v="Jujutsu Kaisen"/>
        <s v="Higurashi no Naku Koro ni Gou"/>
        <s v="Tenkuu Shinpan"/>
        <s v="Shouxi Yu Ling Shi 2"/>
        <s v="Deliver Police: Nishitokyo-shi Deliver Keisatsutai"/>
        <s v="Oshiete Hokusai! The Animation"/>
        <s v="Shichigahama de Mitsuketa"/>
        <s v="Gudetama: Muhou Chitai de Jiyuu mo Fujiyuu"/>
        <s v="Rakka-sei"/>
        <s v="Koi wa 1-nichi ni Shite Narazu"/>
        <s v="23-ji no Saga Meshi Anime"/>
        <s v="Tasuuketsu: Judgement Assizes"/>
        <s v="Tensei shitara Slime Datta Ken 2nd Season Part 2"/>
        <s v="Kobayashi-san Chi no Maid Dragon S"/>
        <s v="Seirei Gensouki"/>
        <s v="Kanojo mo Kanojo"/>
        <s v="Tantei wa Mou, Shindeiru."/>
        <s v="Bokutachi no Remake"/>
        <s v="Shinigami Bocchan to Kuro Maid"/>
        <s v="Meikyuu Black Company"/>
        <s v="Heion Sedai no Idaten-tachi"/>
        <s v="Peach Boy Riverside"/>
        <s v="Fumetsu no Anata e"/>
        <s v="Mairimashita! Iruma-kun 2nd Season"/>
        <s v="Chunqiu Feng Shen"/>
        <s v="Shabake (ONA)"/>
        <s v="Xian Yu Ge"/>
        <s v="A Qi Aoyou Ji"/>
        <s v="Sou Xuan Lu Zhi Chen Ling Ji"/>
        <s v="Tesla Note: Mickey to Oliver no Agent Yousei Kouza"/>
        <s v="Youxia Zhanji"/>
        <s v="Fire Emblem Heroes: Chibi Playhouse"/>
        <s v="Azur Lane 3rd Anniversary: Stars of the Port"/>
        <s v="Cider no You ni Kotoba ga Wakiagaru"/>
        <s v="86"/>
        <s v="Ijiranaide, Nagatoro-san"/>
        <s v="Hige wo Soru. Soshite Joshikousei wo Hirou."/>
        <s v="Vivy: Fluorite Eye's Song"/>
        <s v="Fruits Basket: The Final"/>
        <s v="Odd Taxi"/>
        <s v="Isekai Maou to Shoukan Shoujo no Dorei Majutsu Ω"/>
        <s v="Slime Taoshite 300-nen, Shiranai Uchi ni Level Max ni Nattemashita"/>
        <s v="Bakuten!!"/>
        <s v="Hyper Positive Yogoremon"/>
        <s v="Gokushufudou"/>
        <s v="Mini Van Large"/>
        <s v="Hua Jianghu: Bu Liang Ren IV"/>
        <s v="Xing Hai Qishi: Xia Ban Ji"/>
        <s v="Hua Jianghu: Huan Shi Men Sheng 2nd Season"/>
        <s v="Rhythmens"/>
        <s v="Wonder Egg Priority: Watashi no Priority"/>
        <s v="Kimetsu no Yaiba: Mugen Ressha-hen"/>
        <s v="Sekai Saikou no Ansatsusha, Isekai Kizoku ni Tensei suru"/>
        <s v="Takt Op. Destiny"/>
        <s v="Blue Period"/>
        <s v="Shin no Nakama ja Nai to Yuusha no Party wo Oidasareta node, Henkyou de Slow Life suru Koto ni Shimashita"/>
        <s v="Shinka no Mi: Shiranai Uchi ni Kachigumi Jinsei"/>
        <s v="JoJo no Kimyou na Bouken Part 6: Stone Ocean"/>
        <s v="Feng Qi Luoyang: Shen Ji Shaonian"/>
        <s v="Bai Yue Er"/>
        <s v="Koukaku Kidoutai: SAC_2045 - Jizoku Kanou Sensou"/>
        <s v="Pukkulapottas to Mori no Jikan"/>
      </sharedItems>
    </cacheField>
    <cacheField name="Popularity/Members" numFmtId="0">
      <sharedItems containsSemiMixedTypes="0" containsString="0" containsNumber="1" containsInteger="1" minValue="275" maxValue="3000000"/>
    </cacheField>
    <cacheField name="Rating/Score" numFmtId="0">
      <sharedItems containsSemiMixedTypes="0" containsString="0" containsNumber="1" minValue="4.67" maxValue="9.27" count="283">
        <n v="8.9600000000000009"/>
        <n v="8.67"/>
        <n v="8.2100000000000009"/>
        <n v="8.19"/>
        <n v="8.73"/>
        <n v="8.14"/>
        <n v="8.39"/>
        <n v="6.65"/>
        <n v="7.44"/>
        <n v="7.2"/>
        <n v="7.38"/>
        <n v="6.23"/>
        <n v="7.27"/>
        <n v="7.49"/>
        <n v="6.66"/>
        <n v="6.79"/>
        <n v="6.57"/>
        <n v="7.19"/>
        <n v="8.41"/>
        <n v="7.1"/>
        <n v="7.62"/>
        <n v="7.18"/>
        <n v="6.18"/>
        <n v="6.06"/>
        <n v="7.03"/>
        <n v="7.36"/>
        <n v="6.92"/>
        <n v="8.4700000000000006"/>
        <n v="6.58"/>
        <n v="6.8"/>
        <n v="6.96"/>
        <n v="7.81"/>
        <n v="6.59"/>
        <n v="6.52"/>
        <n v="6.27"/>
        <n v="6.76"/>
        <n v="6.21"/>
        <n v="4.67"/>
        <n v="5.68"/>
        <n v="7.55"/>
        <n v="5.7"/>
        <n v="5.76"/>
        <n v="5.63"/>
        <n v="6.31"/>
        <n v="8.18"/>
        <n v="7.47"/>
        <n v="7.43"/>
        <n v="7.82"/>
        <n v="7.87"/>
        <n v="7.52"/>
        <n v="6.16"/>
        <n v="6.38"/>
        <n v="7.46"/>
        <n v="6.42"/>
        <n v="7.31"/>
        <n v="5.59"/>
        <n v="9.18"/>
        <n v="8.5"/>
        <n v="8.52"/>
        <n v="7.51"/>
        <n v="8.2899999999999991"/>
        <n v="7.84"/>
        <n v="8.49"/>
        <n v="8.06"/>
        <n v="8.36"/>
        <n v="7.4"/>
        <n v="6.9"/>
        <n v="6.91"/>
        <n v="7.94"/>
        <n v="7.42"/>
        <n v="7.35"/>
        <n v="6.88"/>
        <n v="6.32"/>
        <n v="6.69"/>
        <n v="7.08"/>
        <n v="8.07"/>
        <n v="7.75"/>
        <n v="6.85"/>
        <n v="6.5"/>
        <n v="8.23"/>
        <n v="8.2200000000000006"/>
        <n v="8.32"/>
        <n v="7.99"/>
        <n v="7.63"/>
        <n v="7.29"/>
        <n v="6.43"/>
        <n v="7.13"/>
        <n v="8.34"/>
        <n v="8.5500000000000007"/>
        <n v="7.59"/>
        <n v="8.91"/>
        <n v="8.25"/>
        <n v="7.89"/>
        <n v="7.57"/>
        <n v="6.74"/>
        <n v="6.64"/>
        <n v="7.5"/>
        <n v="6.33"/>
        <n v="7.17"/>
        <n v="6.55"/>
        <n v="6.61"/>
        <n v="5.77"/>
        <n v="6.34"/>
        <n v="7.14"/>
        <n v="8.3800000000000008"/>
        <n v="6.09"/>
        <n v="6.77"/>
        <n v="7.16"/>
        <n v="5.96"/>
        <n v="7.39"/>
        <n v="5.4"/>
        <n v="8.43"/>
        <n v="8.16"/>
        <n v="8.7200000000000006"/>
        <n v="8.26"/>
        <n v="7.02"/>
        <n v="7.54"/>
        <n v="6.2"/>
        <n v="6.6"/>
        <n v="5.9"/>
        <n v="7.12"/>
        <n v="6.54"/>
        <n v="6.99"/>
        <n v="6.81"/>
        <n v="5.81"/>
        <n v="6.45"/>
        <n v="5.86"/>
        <n v="7.61"/>
        <n v="6.47"/>
        <n v="6.11"/>
        <n v="8.5299999999999994"/>
        <n v="7.79"/>
        <n v="8.02"/>
        <n v="7.91"/>
        <n v="8.11"/>
        <n v="8.17"/>
        <n v="7.06"/>
        <n v="6.62"/>
        <n v="6.17"/>
        <n v="6.12"/>
        <n v="6.71"/>
        <n v="7.37"/>
        <n v="5.67"/>
        <n v="8.76"/>
        <n v="8.68"/>
        <n v="8.61"/>
        <n v="6.04"/>
        <n v="5.84"/>
        <n v="6.95"/>
        <n v="5.98"/>
        <n v="6.35"/>
        <n v="9.09"/>
        <n v="8.35"/>
        <n v="6.82"/>
        <n v="6.39"/>
        <n v="7.71"/>
        <n v="6.83"/>
        <n v="6.7"/>
        <n v="7.05"/>
        <n v="8.58"/>
        <n v="7.25"/>
        <n v="7.48"/>
        <n v="8.0299999999999994"/>
        <n v="7.6"/>
        <n v="7.11"/>
        <n v="6.75"/>
        <n v="5.89"/>
        <n v="7.41"/>
        <n v="4.75"/>
        <n v="7.68"/>
        <n v="6.56"/>
        <n v="7.45"/>
        <n v="5.85"/>
        <n v="7.32"/>
        <n v="6.84"/>
        <n v="6.24"/>
        <n v="6.36"/>
        <n v="6.07"/>
        <n v="8.59"/>
        <n v="7.93"/>
        <n v="7.78"/>
        <n v="8.1999999999999993"/>
        <n v="7.53"/>
        <n v="8.6999999999999993"/>
        <n v="6.87"/>
        <n v="6.3"/>
        <n v="9.27"/>
        <n v="8.85"/>
        <n v="8.1"/>
        <n v="7.74"/>
        <n v="7.97"/>
        <n v="5.92"/>
        <n v="6.51"/>
        <n v="5.97"/>
        <n v="8.08"/>
        <n v="8.1300000000000008"/>
        <n v="7.7"/>
        <n v="8.1199999999999992"/>
        <n v="7.83"/>
        <n v="7.24"/>
        <n v="6.67"/>
        <n v="6.48"/>
        <n v="5.58"/>
        <n v="7.15"/>
        <n v="6.72"/>
        <n v="5.78"/>
        <n v="6.08"/>
        <n v="8.6199999999999992"/>
        <n v="6.02"/>
        <n v="8.42"/>
        <n v="7.98"/>
        <n v="7.07"/>
        <n v="6.22"/>
        <n v="7.21"/>
        <n v="6.05"/>
        <n v="8.82"/>
        <n v="7.86"/>
        <n v="7.56"/>
        <n v="7.64"/>
        <n v="7.22"/>
        <n v="7.85"/>
        <n v="6.46"/>
        <n v="5.6"/>
        <n v="5.88"/>
        <n v="7.23"/>
        <n v="6.94"/>
        <n v="6.68"/>
        <n v="7.77"/>
        <n v="6.15"/>
        <n v="5.8"/>
        <n v="8.5399999999999991"/>
        <n v="8.09"/>
        <n v="8.15"/>
        <n v="5.71"/>
        <n v="5.79"/>
        <n v="6.37"/>
        <n v="5.75"/>
        <n v="5.31"/>
        <n v="8.3000000000000007"/>
        <n v="8.44"/>
        <n v="7.09"/>
        <n v="5.73"/>
        <n v="6.98"/>
        <n v="6.29"/>
        <n v="8.77"/>
        <n v="7.65"/>
        <n v="8.3699999999999992"/>
        <n v="8.48"/>
        <n v="5.44"/>
        <n v="5.74"/>
        <n v="5.48"/>
        <n v="6.28"/>
        <n v="5.53"/>
        <n v="8.0500000000000007"/>
        <n v="8.6"/>
        <n v="7.26"/>
        <n v="8.0399999999999991"/>
        <n v="6.53"/>
        <n v="7"/>
        <n v="7.73"/>
        <n v="6.13"/>
        <n v="5.99"/>
        <n v="5.49"/>
        <n v="8.98"/>
        <n v="8.51"/>
        <n v="8.24"/>
        <n v="8.7899999999999991"/>
        <n v="5.24"/>
        <n v="8"/>
        <n v="5.29"/>
        <n v="5.65"/>
        <n v="5.87"/>
        <n v="5.41"/>
        <n v="7.58"/>
        <n v="6.01"/>
        <n v="5.69"/>
        <n v="8.94"/>
        <n v="8.6300000000000008"/>
        <n v="6.89"/>
        <n v="5.52"/>
        <n v="5.95"/>
        <n v="6.14"/>
        <n v="5.16"/>
      </sharedItems>
    </cacheField>
    <cacheField name="Genres" numFmtId="0">
      <sharedItems containsBlank="1" count="380">
        <s v="Adventure, Drama, Fantasy, Shounen"/>
        <s v="Action, Supernatural, Shounen"/>
        <s v="Action, Adventure, Supernatural, Gore, Historical, , "/>
        <s v="Action, Adventure, Fantasy"/>
        <s v="Drama, Reincarnation, , "/>
        <s v="Action, Fantasy, Sci-Fi, Urban Fantasy, Shounen"/>
        <s v="Action, Fantasy, Urban Fantasy"/>
        <s v="Action, Fantasy, Ecchi, Harem, Shounen"/>
        <s v="Action, Suspense, High Stakes Game"/>
        <s v="Action, Super Power, Shounen"/>
        <s v="Comedy, Fantasy, Romance, Isekai, "/>
        <s v="Comedy, Romance, Harem, School, "/>
        <s v="Romance, , "/>
        <s v="Action, Adventure, Fantasy, Reincarnation"/>
        <s v="Action, Adventure, Sci-Fi, Adult Cast, "/>
        <s v="Fantasy, Isekai, "/>
        <s v="Fantasy"/>
        <s v="Action, Adventure, Fantasy, , "/>
        <s v="Action, Adventure, Adult Cast, , , "/>
        <s v="Mystery, Supernatural, Villainess"/>
        <s v="Fantasy, Romance, Adult Cast, Urban Fantasy, "/>
        <s v="Boys Love, Fantasy, Adult Cast, Isekai"/>
        <s v="Action, Adventure, Fantasy, Girls Love"/>
        <s v="Fantasy, Romance, Villainess, "/>
        <s v="Sci-Fi, Seinen"/>
        <s v="Comedy, Fantasy, Childcare"/>
        <s v="Slice of Life, Seinen"/>
        <s v="Drama, Sports, Performing Arts, "/>
        <s v="Fantasy, Shounen"/>
        <s v="Drama, Fantasy, Romance"/>
        <s v="Romance, Crossdressing, Love Polygon, , "/>
        <s v="Drama, Racing, "/>
        <s v="Action, Organized Crime, "/>
        <s v="Drama, Supernatural, Anthropomorphic, , "/>
        <s v="Fantasy, Mystery, Vampire"/>
        <s v="Comedy, Adult Cast, "/>
        <s v="Drama, Romance, Reverse Harem, , "/>
        <s v="Comedy, Horror, Supernatural, Mythology, School, Shounen"/>
        <s v="Action, Historical, Samurai, Shounen"/>
        <s v="Action, Fantasy, Samurai, Urban Fantasy"/>
        <s v="Historical"/>
        <s v="Boys Love, Fantasy, , "/>
        <s v="Action, Mystery, Detective, Mahou Shoujo, "/>
        <s v="Comedy, Romance, Gag Humor, Parody, , "/>
        <s v="Avant Garde, Horror, Supernatural"/>
        <s v="Comedy, Gag Humor, Parody"/>
        <s v="Action, "/>
        <s v="Action, Adventure, Fantasy, Shounen"/>
        <s v="Adventure, Comedy, Mystery, Detective, "/>
        <s v="Adventure, Drama, Supernatural, Shounen"/>
        <s v="Comedy, Romance, Harem, School"/>
        <s v="Action, Comedy, Adult Cast, Super Power, "/>
        <s v="Sci-Fi, Suspense, Space, Survival, "/>
        <s v="Drama, Music, Performing Arts, "/>
        <s v="Comedy"/>
        <s v="Action, Music, Super Power"/>
        <s v="Comedy, School, "/>
        <s v="Action, Comedy, Adult Cast, Parody"/>
        <s v="Action, Fantasy, Music"/>
        <s v="Slice of Life, Anthropomorphic, Iyashikei"/>
        <s v="Action"/>
        <s v="Action, Adventure, Mystery, Supernatural, Historical, Racing, , "/>
        <s v="Action, Sci-Fi, Supernatural, , "/>
        <s v="Drama, Romance, Adult Cast, , "/>
        <s v="Action, Gore, Martial Arts, "/>
        <s v="Action, Adventure, Fantasy, Historical, Martial Arts"/>
        <s v="Action, Adventure, Drama, Fantasy, , "/>
        <s v="Action, Adventure, Fantasy, "/>
        <s v="Action, Adventure, Fantasy, Sci-Fi, Martial Arts"/>
        <s v="Action, Adventure, Fantasy, Sci-Fi"/>
        <s v="Romance, Supernatural, , "/>
        <s v="Action, Adventure, Comedy, Fantasy, Isekai"/>
        <s v="Slice of Life"/>
        <s v="Action, Sci-Fi, Military, Time Travel"/>
        <s v="Drama"/>
        <s v="Comedy, Sci-Fi, Space"/>
        <s v="Comedy, Girls Love, Harem, School"/>
        <s v="Sci-Fi, Suspense, Mecha, Psychological"/>
        <s v="Action, Fantasy, Mythology"/>
        <s v="Mystery, Historical"/>
        <s v="Action, Comedy, Fantasy, Isekai, , "/>
        <s v="Romance, School"/>
        <s v="Adventure, Comedy, Shounen"/>
        <s v="Fantasy, Isekai, Reincarnation"/>
        <s v="Comedy, Fantasy, School, Shounen"/>
        <s v="Comedy, Romance, School"/>
        <s v="Comedy, Romance, Supernatural, School, "/>
        <s v="Adventure, Comedy, Fantasy, Isekai"/>
        <s v="Comedy, Fantasy, Romance"/>
        <s v="Action, Comedy, Fantasy, Horror, Gore, Seinen"/>
        <s v="Action, Adventure, Fantasy, Adult Cast, Urban Fantasy"/>
        <s v="Action, Comedy, Adult Cast, , "/>
        <s v="Drama, Mystery, , "/>
        <s v="Comedy, Romance, , , , "/>
        <s v="Action, Fantasy, Isekai"/>
        <s v="Comedy, Romance"/>
        <s v="Drama, Fantasy, Romance, Adult Cast, "/>
        <s v="Action, Adventure, Comedy, Fantasy"/>
        <s v="Comedy, Romance, Adult Cast, , "/>
        <s v="Romance, School, "/>
        <s v="Comedy, Romance, Love Status Quo, , "/>
        <s v="Adventure, Fantasy, Isekai"/>
        <s v="Adventure, Comedy, Fantasy, "/>
        <s v="Action, Adventure, Fantasy, Romance, "/>
        <s v="Fantasy, Harem, Isekai, "/>
        <s v="Mystery, Adult Cast, Medical"/>
        <s v="Adventure, Fantasy"/>
        <s v="Comedy, Romance, Love Polygon, "/>
        <s v="Action, Adventure, Comedy, Fantasy, Isekai, "/>
        <s v="Adventure, Fantasy, Romance"/>
        <s v="Action, Fantasy, Sci-Fi"/>
        <s v="Sci-Fi, Mecha"/>
        <s v="Drama, Fantasy, Suspense, Isekai, , "/>
        <s v="Romance, Sports, , , , "/>
        <s v="Drama, Historical, "/>
        <s v="Action, Adventure, Fantasy, Video Game, "/>
        <s v="Action, Adventure, Fantasy, Harem, Isekai"/>
        <s v="Action, Adventure, Comedy, Fantasy, Martial Arts, "/>
        <s v="Action, Fantasy, Romance, "/>
        <s v="Comedy, Romance, Supernatural, Harem, "/>
        <s v="Action, Fantasy, Strategy Game"/>
        <s v="Sci-Fi, Suspense, High Stakes Game"/>
        <s v="Adventure, Comedy, Fantasy"/>
        <s v="Fantasy, Isekai"/>
        <s v="Comedy, Sports"/>
        <s v="Boys Love, Comedy, Supernatural, Vampire, Shounen"/>
        <s v="Action, Adventure, Historical, Martial Arts"/>
        <s v="Action, Drama"/>
        <s v="Fantasy, Romance, "/>
        <s v="Action, Adventure, Mystery, Historical, Martial Arts"/>
        <s v="Mystery, Sci-Fi, Detective"/>
        <s v="Action, Adventure, Fantasy, Historical, Isekai, "/>
        <s v="Comedy, Fantasy"/>
        <s v="Sci-Fi, Mecha, Space"/>
        <s v="Action, Comedy, Supernatural, Shounen"/>
        <s v="Action, Fantasy, Shounen"/>
        <s v="Romance, Otaku Culture, , "/>
        <s v="Drama, Romance, School"/>
        <s v="Action, Fantasy, Sci-Fi, Adult Cast, Military, , "/>
        <s v="Horror, Mystery, Supernatural"/>
        <s v="Romance, Supernatural, Vampire, "/>
        <s v="Fantasy, School"/>
        <s v="Drama, Romance, Supernatural, School"/>
        <s v="Comedy, Adult Cast, Gag Humor, "/>
        <s v="Adventure, Fantasy, , "/>
        <s v="Action, Fantasy"/>
        <s v="Action, Adventure, Drama, Fantasy, Isekai"/>
        <s v="Adventure, Fantasy, "/>
        <s v="Adventure, Fantasy, Isekai, "/>
        <s v="Comedy, Romance, Harem, "/>
        <s v="Comedy, Romance, Adult Cast, Harem, "/>
        <s v="Adventure, Fantasy, Time Travel"/>
        <s v="Comedy, Drama, Romance, Love Polygon, , "/>
        <s v="Drama, Romance, Josei"/>
        <s v="Comedy, Fantasy, , "/>
        <s v="Action, Adventure, Samurai, "/>
        <s v="Drama, Sci-Fi, Psychological, Time Travel, "/>
        <s v="Action, Fantasy, Mystery, Suspense, Adult Cast, Isekai"/>
        <s v="Sci-Fi"/>
        <s v="Slice of Life, Idols (Female)"/>
        <s v="Action, Fantasy, Gore, Urban Fantasy, "/>
        <s v="Action, Award Winning, Supernatural, Historical, Shounen"/>
        <s v="Drama, Sports"/>
        <s v="Comedy, Shounen"/>
        <s v="Mystery, Romance, School, Super Power, Time Travel"/>
        <s v="Action, Fantasy, Sci-Fi, Urban Fantasy, "/>
        <s v="Action, Delinquents, School"/>
        <s v="Comedy, Romance, Ecchi, School, "/>
        <s v="Comedy, Fantasy, CGDCT, Isekai"/>
        <s v="Drama, Sports, Anthropomorphic, , "/>
        <s v="Fantasy, Romance"/>
        <s v="Comedy, Sci-Fi"/>
        <s v="Music, School"/>
        <s v="Comedy, Parody"/>
        <s v="Action, Sci-Fi"/>
        <s v="Action, Fantasy, Video Game"/>
        <s v="Action, Mystery, Historical"/>
        <s v="Action, Adventure, Comedy, Mystery, , "/>
        <s v="Comedy, Sci-Fi, Shoujo"/>
        <s v="Action, Comedy, Adult Cast, Parody, , "/>
        <s v="Action, Comedy, , , "/>
        <s v="Action, School, Super Power, "/>
        <s v="Action, Adventure, Fantasy, Isekai"/>
        <s v="Action, Comedy, Fantasy, Romance, Villainess"/>
        <s v="Adventure, Comedy, Fantasy, Gourmet, Isekai"/>
        <s v="Action, Mystery, School, "/>
        <s v="Romance, Sci-Fi"/>
        <s v="Drama, Girls Love, Supernatural, Mythology, "/>
        <s v="Comedy, Anthropomorphic"/>
        <s v="Slice of Life, Anthropomorphic"/>
        <s v="Comedy, Romance, Shoujo"/>
        <s v="Action, Comedy, Adult Cast, Parody, Super Power, Seinen"/>
        <s v="Adventure, Comedy, Fantasy, Gourmet, Seinen"/>
        <s v="Drama, Suspense, Psychological, School"/>
        <s v="Action, Comedy, Fantasy, Gag Humor, Parody, , "/>
        <s v="Romance, Adult Cast, "/>
        <s v="Comedy, Romance, School, "/>
        <s v="Action, Fantasy, Ecchi, Harem, "/>
        <s v="Fantasy, Isekai, School, "/>
        <s v="Action, Comedy, Girls Love, Ecchi, Mahou Shoujo"/>
        <s v="Action, Adventure, Comedy, Fantasy, Isekai, Parody"/>
        <s v="Action, Fantasy, , , "/>
        <s v="Action, Supernatural, Mythology, School, "/>
        <s v="Action, Fantasy, Romance, Ecchi, Harem, Isekai, "/>
        <s v="Adventure, Fantasy, Crossdressing, , "/>
        <s v="Action, Adventure, Fantasy, Gore, Isekai"/>
        <s v="Fantasy, Romance, Medical, "/>
        <s v="Fantasy, Slice of Life, , "/>
        <s v="Action, Fantasy, Organized Crime"/>
        <s v="Adventure, Award Winning, Drama, Fantasy, Shounen"/>
        <s v="Action, Comedy, Super Power, "/>
        <s v="Slice of Life, Adult Cast, Pets, , "/>
        <s v="Romance, Adult Cast"/>
        <s v="Racing, Seinen"/>
        <s v="Drama, Fantasy"/>
        <s v="Fantasy, Music"/>
        <s v="Comedy, Fantasy, Historical, Parody"/>
        <s v="Fantasy, Pets"/>
        <m/>
        <s v="Idols (Female), Music"/>
        <s v="Action, Adventure, Drama, Fantasy, Mystery"/>
        <s v="Comedy, Gag Humor, School, "/>
        <s v="Adventure, Comedy, Fantasy, Isekai, Parody"/>
        <s v="Comedy, Ecchi, Harem, Otaku Culture, , "/>
        <s v="Adventure, Drama, Romance, Supernatural, Adult Cast"/>
        <s v="Slice of Life, Pets"/>
        <s v="Comedy, Fantasy, Isekai, Reincarnation"/>
        <s v="Action, Adventure, Martial Arts"/>
        <s v="Drama, Historical"/>
        <s v="Action, Fantasy, Historical"/>
        <s v="Drama, Horror"/>
        <s v="Adventure, Fantasy, Historical"/>
        <s v="Action, Supernatural, Historical, "/>
        <s v="Adventure, Drama, Fantasy, Ecchi, Isekai, "/>
        <s v="Adventure, Fantasy, Romance, Isekai"/>
        <s v="Action, Fantasy, Reincarnation, School"/>
        <s v="Action, Adventure, Fantasy, Isekai, "/>
        <s v="Comedy, Romance, Supernatural"/>
        <s v="Drama, Music"/>
        <s v="Fantasy, Suspense, High Stakes Game, "/>
        <s v="Action, School"/>
        <s v="Sports, Team Sports"/>
        <s v="Action, Comedy, Fantasy"/>
        <s v="Boys Love, Fantasy, Isekai"/>
        <s v="Fantasy, Slice of Life, Anthropomorphic, Iyashikei"/>
        <s v="Action, Fantasy, Military"/>
        <s v="Award Winning, Drama, Otaku Culture, "/>
        <s v="Fantasy, Strategy Game"/>
        <s v="Action, Adventure, Supernatural, Shounen"/>
        <s v="Avant Garde, Drama, Horror, Suspense, Psychological, "/>
        <s v="Action, Adventure, Fantasy, Romance, Harem, Isekai, "/>
        <s v="Action, Comedy, Romance, Ecchi, Magical Sex Shift, , , "/>
        <s v="Romance, Organized Crime, "/>
        <s v="Romance, Adult Cast, , "/>
        <s v="Action, Adventure, Fantasy, Sci-Fi, Martial Arts, , "/>
        <s v="Action, Fantasy, Historical, Isekai"/>
        <s v="Adventure, Comedy, Fantasy, Historical"/>
        <s v="Comedy, Historical"/>
        <s v="Action, Adventure, Drama, Gore, Historical, "/>
        <s v="Action, Drama, Delinquents, Time Travel, "/>
        <s v="Action, Fantasy, Reincarnation, "/>
        <s v="Action, Mystery, Adult Cast, , , , "/>
        <s v="Action, Comedy, Childcare, "/>
        <s v="Comedy, Romance, Love Status Quo, "/>
        <s v="Action, Adventure, Comedy, Fantasy, Video Game"/>
        <s v="Fantasy, Girls Love, Isekai, "/>
        <s v="Mystery, Romance, Supernatural, Adult Cast, , "/>
        <s v="Action, Fantasy, Reincarnation"/>
        <s v="Adventure, Drama, Fantasy, Romance, Visual Arts"/>
        <s v="Fantasy, Slice of Life, Isekai, Iyashikei, "/>
        <s v="Action, Adventure, Fantasy, Martial Arts, "/>
        <s v="Sports, Team Sports, "/>
        <s v="Action, Comedy, Fantasy, Isekai, "/>
        <s v="Comedy, Fantasy, Adult Cast, Isekai, "/>
        <s v="Slice of Life, Adult Cast, Iyashikei"/>
        <s v="Action, Drama, Fantasy, Romance, Historical, Martial Arts"/>
        <s v="Action, Drama, Fantasy"/>
        <s v="Sci-Fi, Time Travel, Video Game"/>
        <s v="Drama, Sci-Fi"/>
        <s v="Comedy, Suspense, Adult Cast, Survival, "/>
        <s v="Fantasy, Mystery, Adult Cast, , , , "/>
        <s v="Comedy, Supernatural"/>
        <s v="Fantasy, Isekai, Villainess, "/>
        <s v="Comedy, Romance, Ecchi, Harem"/>
        <s v="Comedy, Fantasy, Romance, Love Status Quo"/>
        <s v="Drama, Mystery, Suspense, Adult Cast, Super Power, "/>
        <s v="Comedy, Romance, Shounen"/>
        <s v="Boys Love, Comedy, Drama, Fantasy"/>
        <s v="Action, Adventure, Fantasy, Martial Arts"/>
        <s v="Action, Adventure, Comedy, Fantasy, Historical, Martial Arts"/>
        <s v="Comedy, Gourmet"/>
        <s v="Award Winning, Drama, Reincarnation, , "/>
        <s v="Adventure, Mystery, Sci-Fi, Seinen"/>
        <s v="Romance, Video Game"/>
        <s v="Drama, School, "/>
        <s v="Drama, Fantasy, Romance, Mythology, School, , "/>
        <s v="Fantasy, Romance, Isekai, "/>
        <s v="Adventure, Comedy, Fantasy, Romance, Harem, Isekai"/>
        <s v="Comedy, Romance, Ecchi, Adult Cast, Harem, , "/>
        <s v="Action, Comedy, Fantasy, Ecchi, Harem, Parody"/>
        <s v="Comedy, Fantasy, Isekai"/>
        <s v="Action, Adventure, Fantasy, Martial Arts, Mythology"/>
        <s v="Action, Comedy, Fantasy, Shounen"/>
        <s v="Action, Adventure, Fantasy, Gore"/>
        <s v="Action, Fantasy, Harem, , "/>
        <s v="Action, Adventure, Fantasy, Isekai, Reincarnation"/>
        <s v="Action, Mystery, Sci-Fi, Suspense, Detective, , "/>
        <s v="Comedy, Video Game"/>
        <s v="Action, Drama, Historical, Martial Arts"/>
        <s v="Action, Drama, Suspense, Gore, Military, , "/>
        <s v="Action, Fantasy, Mystery, Historical, Urban Fantasy, , "/>
        <s v="Boys Love, Otaku Culture, "/>
        <s v="Slice of Life, CGDCT, School, "/>
        <s v="Action, Adventure, Fantasy, Historical, Samurai, "/>
        <s v="Drama, Sci-Fi, Mecha, Military"/>
        <s v="Drama, Supernatural, Suspense, Mythology, , , "/>
        <s v="Slice of Life, Childcare, "/>
        <s v="Sports"/>
        <s v="Adventure"/>
        <s v="Comedy, Pets"/>
        <s v="Drama, Suspense, Psychological, "/>
        <s v="Adventure, Drama, Fantasy, Mystery, Sci-Fi, Gore"/>
        <s v="Fantasy, Isekai, Medical, "/>
        <s v="Fantasy, Mystery, Seinen"/>
        <s v="Action, Adventure, Super Power, "/>
        <s v="Action, Fantasy, Historical, Martial Arts"/>
        <s v="Action, Gourmet, Sci-Fi, Music"/>
        <s v="Drama, Mystery, Romance, Supernatural"/>
        <s v="Action, Award Winning, Comedy, , , "/>
        <s v="Action, Adventure, Drama, Fantasy, "/>
        <s v="Suspense, High Stakes Game, , , "/>
        <s v="Comedy, Adult Cast, Music, , "/>
        <s v="Action, Fantasy, Romance, Sci-Fi, Harem, School, "/>
        <s v="Comedy, Sports, Strategy Game"/>
        <s v="Comedy, Romance, , , "/>
        <s v="Action, Comedy, Sci-Fi"/>
        <s v="Action, Comedy, Supernatural"/>
        <s v="Comedy, CGDCT, Music"/>
        <s v="Comedy, Romance, Adult Cast, Love Status Quo"/>
        <s v="Adventure, Supernatural, Mythology"/>
        <s v="Mystery, Suspense, Psychological, , "/>
        <s v="Drama, Supernatural, Suspense, Psychological"/>
        <s v="Sports, Racing"/>
        <s v="Drama, Suspense, Anthropomorphic, , , "/>
        <s v="Action, Adventure, Fantasy, Ecchi, Harem"/>
        <s v="Action, Mystery, Supernatural, Detective, , "/>
        <s v="Comedy, Anthropomorphic, , , "/>
        <s v="Slice of Life, CGDCT, Iyashikei"/>
        <s v="Action, Award Winning, Supernatural, School, "/>
        <s v="Horror, Mystery, Suspense, Gore, Psychological"/>
        <s v="Action, Horror, Mystery, Suspense, Gore, Survival"/>
        <s v="Fantasy, Slice of Life, Visual Arts"/>
        <s v="Supernatural, Music"/>
        <s v="Gourmet"/>
        <s v="Action, Drama, Suspense, Psychological, Super Power"/>
        <s v="Slice of Life, Supernatural"/>
        <s v="Comedy, Mystery, Romance, Detective"/>
        <s v="Drama, Romance, Adult Cast, Time Travel"/>
        <s v="Action, Adventure, Fantasy, Seinen"/>
        <s v="Action, Adventure, Fantasy, Gore, "/>
        <s v="Fantasy, Historical, Mythology"/>
        <s v="Adventure, Comedy"/>
        <s v="Comedy, Fantasy, Parody"/>
        <s v="Romance, "/>
        <s v="Comedy, Romance, , "/>
        <s v="Drama, Romance"/>
        <s v="Action, Sci-Fi, Suspense, Music, Time Travel"/>
        <s v="Drama, Romance, Supernatural, Shoujo"/>
        <s v="Award Winning, Drama, Mystery, Suspense, Adult Cast, , "/>
        <s v="Action, Comedy, Fantasy, Romance, Ecchi, , "/>
        <s v="Sports, Performing Arts, "/>
        <s v="Comedy, Parody, Strategy Game"/>
        <s v="Action, Drama, Fantasy, Mystery, Romance, Martial Arts"/>
        <s v="Action, Drama, Fantasy, Mystery, Romance, , "/>
        <s v="Action, Fantasy, Sci-Fi, Music, Urban Fantasy"/>
        <s v="Drama, School, Visual Arts, "/>
        <s v="Adventure, Fantasy, Romance, Harem, Isekai"/>
        <s v="Action, Adventure, Fantasy, Historical"/>
        <s v="Mystery, Sci-Fi, Adult Cast, Detective, Mecha, Military, Seinen"/>
        <s v="Award Winning, Slice of Life"/>
      </sharedItems>
    </cacheField>
    <cacheField name="Studios" numFmtId="0">
      <sharedItems/>
    </cacheField>
    <cacheField name="Year" numFmtId="0">
      <sharedItems containsSemiMixedTypes="0" containsString="0" containsNumber="1" containsInteger="1" minValue="2021" maxValue="2026" count="6">
        <n v="2026"/>
        <n v="2025"/>
        <n v="2024"/>
        <n v="2023"/>
        <n v="2022"/>
        <n v="2021"/>
      </sharedItems>
    </cacheField>
    <cacheField name="Season" numFmtId="0">
      <sharedItems/>
    </cacheField>
  </cacheFields>
  <extLst>
    <ext xmlns:x14="http://schemas.microsoft.com/office/spreadsheetml/2009/9/main" uri="{725AE2AE-9491-48be-B2B4-4EB974FC3084}">
      <x14:pivotCacheDefinition pivotCacheId="4132151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rush Taluja" refreshedDate="46120.944332291663" createdVersion="8" refreshedVersion="8" minRefreshableVersion="3" recordCount="623" xr:uid="{9D2F9D2A-C7F8-4186-B21E-24D6AE6B7226}">
  <cacheSource type="worksheet">
    <worksheetSource name="Sheet1__4"/>
  </cacheSource>
  <cacheFields count="7">
    <cacheField name="Anime Title" numFmtId="0">
      <sharedItems count="623">
        <s v="Sousou no Frieren 2nd Season"/>
        <s v="Jujutsu Kaisen: Shimetsu Kaiyuu - Zenpen"/>
        <s v="Jigokuraku 2nd Season"/>
        <s v="Yuusha-kei ni Shosu: Choubatsu Yuusha 9004-tai Keimu Kiroku"/>
        <s v="[Oshi no Ko] 3rd Season"/>
        <s v="Enen no Shouboutai: San no Shou Part 2"/>
        <s v="Fate/strange Fake"/>
        <s v="Yuusha Party wo Oidasareta Kiyoubinbou"/>
        <s v="Mato Seihei no Slave 2"/>
        <s v="Shibou Yuugi de Meshi wo Kuu."/>
        <s v="Vigilante: Boku no Hero Academia Illegals 2nd Season"/>
        <s v="Yuusha Party ni Kawaii Ko ga Ita node, Kokuhaku shitemita."/>
        <s v="Mayonaka Heart Tune"/>
        <s v="Uruwashi no Yoi no Tsuki"/>
        <s v="Kizoku Tensei: Megumareta Umare kara Saikyou no Chikara wo Eru"/>
        <s v="Trigun Stargaze"/>
        <s v="Okiraku Ryoushu no Tanoshii Ryouchi Bouei: Seisankei Majutsu de Na mo Naki Mura wo Saikyou no Jousai Toshi ni"/>
        <s v="Majutsushi Kunon wa Mieteiru"/>
        <s v="Hell Mode: Yarikomizuki no Gamer wa Hai Settei no Isekai de Musou suru"/>
        <s v="Golden Kamuy: Saishuushou"/>
        <s v="Eris no Seihai"/>
        <s v="Toumei Otoko to Ningen Onna: Sonouchi Fuufu ni Naru Futari"/>
        <s v="Isekai no Sata wa Shachiku Shidai"/>
        <s v="&quot;Omae Gotoki ga Maou ni Kateru to Omouna&quot; to Yuusha Party wo Tsuihou sareta node, Outo de Kimama ni Kurashitai"/>
        <s v="Akuyaku Reijou wa Ringoku no Outaishi ni Dekiai sareru"/>
        <s v="Darwin Jihen"/>
        <s v="Maou no Musume wa Yasashisugiru!!"/>
        <s v="Kirei ni Shitemoraemasu ka."/>
        <s v="Medalist 2nd Season"/>
        <s v="29-sai Dokushin Chuuken Boukensha no Nichijou"/>
        <s v="Champignon no Majo"/>
        <s v="Hanazakari no Kimitachi e"/>
        <s v="MF Ghost 3rd Season"/>
        <s v="Yuusha no Kuzu"/>
        <s v="Jingai Kyoushitsu no Ningengirai Kyoushi"/>
        <s v="Arne no Jikenbo"/>
        <s v="Goumon Baito-kun no Nichijou"/>
        <s v="Douse, Koishite Shimaunda. 2nd Season"/>
        <s v="Jigoku Sensei Nube (2025) Part 2"/>
        <s v="Ao no Miburo: Serizawa Ansatsu-hen"/>
        <s v="Yoroi Shin Den Samurai Troopers"/>
        <s v="Hikuidori: Ushuu Boro Tobi-gumi"/>
        <s v="Saioshi no Gikei wo Mederu Tame, Nagaiki shimasu!"/>
        <s v="Meitantei Precure!"/>
        <s v="High School! Kimengumi (2026)"/>
        <s v="Yami Shibai 16"/>
        <s v="Hokuto no Ken: Kenougun Zako-tachi no Banka"/>
        <s v="Cardfight!! Vanguard: Divinez Genma Seisen-hen"/>
        <s v="One Piece"/>
        <s v="Meitantei Conan"/>
        <s v="Fumetsu no Anata e Season 3"/>
        <s v="Chitose-kun wa Ramune Bin no Naka"/>
        <s v="Toujima Tanzaburou wa Kamen Rider ni Naritai"/>
        <s v="Gnosia"/>
        <s v="Ao no Orchestra Season 2"/>
        <s v="Sazae-san"/>
        <s v="SI-VIS: The Sound of Heroes"/>
        <s v="Chibi Maruko-chan (1995)"/>
        <s v="Ganglion"/>
        <s v="Princession Orchestra"/>
        <s v="Koupen-chan"/>
        <s v="Ninjala (TV)"/>
        <s v="Steel Ball Run: JoJo no Kimyou na Bouken"/>
        <s v="Chou Kaguya-hime!"/>
        <s v="Prism Rondo"/>
        <s v="Baki-dou"/>
        <s v="Mushen Ji"/>
        <s v="Wanmei Shijie"/>
        <s v="Doupo Cangqiong: Nian Fan"/>
        <s v="Tian Guan Cifu Short Films"/>
        <s v="Douluo Dalu II: Jueshi Tangmen"/>
        <s v="Tunshi Xingkong 4th Season"/>
        <s v="Yu-Gi-Oh! Card Game: The Chronicles"/>
        <s v="Lian Qi Shi Wan Nian"/>
        <s v="Wei Miao Rensheng"/>
        <s v="Yu Ling Shi"/>
        <s v="Guangyin Zhi Wai"/>
        <s v="Jian Lai 2nd Season"/>
        <s v="Shen Mu: Nian Fan"/>
        <s v="Shenkong Bi An"/>
        <s v="Tian Xiang"/>
        <s v="Shanhai Jing Mima"/>
        <s v="Noto Hantou Fukkou Ouen Kikaku"/>
        <s v="All You Need Is Kill"/>
        <s v="Hanarokushou ga Akeru Hi ni"/>
        <s v="Ginga Tokkyuu Milky☆Subway Movie: Kakueki Teisha Gekijou Yuki"/>
        <s v="Watashi ga Koibito ni Nareru Wake Nai jan, Muri Muri! (※Muri ja Nakatta!?) (TV Special)"/>
        <s v="Evangelion: Housou 30-shuunen Kinen Tokubetsu Kougyou"/>
        <s v="Tensui no Sakuna-hime: Kokorowa Inasaku Nisshi"/>
        <s v="Princess Principal: Crown Handler 4 - Fabulous Platypus"/>
        <s v="Tensei shitara Slime Datta Ken 4th Season"/>
        <s v="Otonari no Tenshi-sama ni Itsunomanika Dame Ningen ni Sareteita Ken 2"/>
        <s v="Dr. Stone: Science Future Part 3"/>
        <s v="Honzuki no Gekokujou: Shisho ni Naru Tame ni wa Shudan wo Erandeiraremasen - Ryoushu no Youjo"/>
        <s v="Mairimashita! Iruma-kun 4th Season"/>
        <s v="Koori no Jouheki"/>
        <s v="Kanan-sama wa Akumade Choroi"/>
        <s v="Saikyou no Shokugyou wa Yuusha demo Kenja demo Naku Kanteishi (Kari) Rashii desu yo?"/>
        <s v="Nigashita Sakana wa Ookikatta ga Tsuriageta Sakana ga Ookisugita Ken"/>
        <s v="Dorohedoro Season 2"/>
        <s v="Ore dake Level Up na Ken Season 2: Arise from the Shadow"/>
        <s v="Sakamoto Days"/>
        <s v="Kusuriya no Hitorigoto 2nd Season"/>
        <s v="Dr. Stone: Science Future"/>
        <s v="Kimi no Koto ga Daidaidaidaidaisuki na 100-nin no Kanojo 2nd Season"/>
        <s v="Zenshuu."/>
        <s v="Class no Daikirai na Joshi to Kekkon suru Koto ni Natta."/>
        <s v="Watashi no Shiawase na Kekkon 2nd Season"/>
        <s v="Guild no Uketsukejou desu ga, Zangyou wa Iya nanode Boss wo Solo Toubatsu Shiyou to Omoimasu"/>
        <s v="Kono Kaisha ni Suki na Hito ga Imasu"/>
        <s v="Fuguushoku &quot;Kanteishi&quot; ga Jitsu wa Saikyou Datta"/>
        <s v="Honey Lemon Soda"/>
        <s v="Kuroiwa Medaka ni Watashi no Kawaii ga Tsuujinai"/>
        <s v="Izure Saikyou no Renkinjutsushi?"/>
        <s v="Salaryman ga Isekai ni Ittara Shitennou ni Natta Hanashi"/>
        <s v="A-Rank Party wo Ridatsu shita Ore wa, Moto Oshiego-tachi to Meikyuu Shinbu wo Mezasu."/>
        <s v="Hazure Skill &quot;Kinomi Master&quot;: Skill no Mi (Tabetara Shinu) wo Mugen ni Taberareru You ni Natta Ken ni Tsuite"/>
        <s v="Around 40 Otoko no Isekai Tsuuhan"/>
        <s v="Ameku Takao no Suiri Karte"/>
        <s v="Medalist"/>
        <s v="Botsuraku Yotei no Kizoku dakedo, Hima Datta kara Mahou wo Kiwametemita"/>
        <s v="Okinawa de Suki ni Natta Ko ga Hougen Sugite Tsurasugiru"/>
        <s v="Sentai Red Isekai de Boukensha ni Naru"/>
        <s v="Unnamed Memory Act.2"/>
        <s v="Momentary Lily"/>
        <s v="Mahoutsukai Precure!! Mirai Days"/>
        <s v="Sousei no Aquarion: Myth of Emotions"/>
        <s v="Re:Zero kara Hajimeru Isekai Seikatsu 3rd Season"/>
        <s v="Ao no Hako"/>
        <s v="Chi. Chikyuu no Undou ni Tsuite"/>
        <s v="Shangri-La Frontier: Kusoge Hunter, Kamige ni Idoman to su 2nd Season"/>
        <s v="Dungeon ni Deai wo Motomeru no wa Machigatteiru Darou ka V: Houjou no Megami-hen"/>
        <s v="Arifureta Shokugyou de Sekai Saikyou Season 3"/>
        <s v="Dragon Ball Daima"/>
        <s v="Kimi to Boku no Saigo no Senjou, Aruiwa Sekai ga Hajimaru Seisen Season II"/>
        <s v="Amagami-san Chi no Enmusubi"/>
        <s v="Yu☆Gi☆Oh! Go Rush!!"/>
        <s v="Tousouchuu: Great Mission"/>
        <s v="Chao Neng Lifang: Chaofan Pian"/>
        <s v="Princess Connect! Michibiki no Hatsuhana: Fiore Storia"/>
        <s v="Nomo no Kuni"/>
        <s v="Sorairo Utility x Birdie Wing: Golf Girls' Story Mini Anime"/>
        <s v="Koi no Yu♨️Talk"/>
        <s v="Huo Feng Liao Yuan Er"/>
        <s v="Xiang Huo Er Sheng"/>
        <s v="Junzi Wu Ji"/>
        <s v="Fanren Xiu Xian Zhuan: Xu Tian Zhan Ji"/>
        <s v="Shaonian Ge Xing: Xue Ran Tianqi Pian"/>
        <s v="Petit Forma: Denhan Kyoku Nisshi"/>
        <s v="Tianming Da Zhuzai"/>
        <s v="Zui Qiang Shengji"/>
        <s v="Hazure Skill &quot;Kinomi Master&quot;: Skill no Mi (Tabetara Shinu) wo Mugen ni Taberareru You ni Natta Ken ni Tsuite Mini Anime"/>
        <s v="Aka no Kioku"/>
        <s v="Kidou Senshi Gundam: GQuuuuuuX - Beginning"/>
        <s v="Aldnoah.Zero: Ame no Danshou - The Penultimate Truth"/>
        <s v="Momentary Lily: Tsuzuiteiku Kappou, Kappou!"/>
        <s v="Fate/Grand Order: Fujimaru Ritsuka wa Wakaranai Season 2 Specials"/>
        <s v="Dandadan 2nd Season"/>
        <s v="Gachiakuta"/>
        <s v="Sono Bisque Doll wa Koi wo Suru Season 2"/>
        <s v="Kaoru Hana wa Rin to Saku"/>
        <s v="Kaijuu 8-gou 2nd Season"/>
        <s v="Hikaru ga Shinda Natsu"/>
        <s v="Sakamoto Days Part 2"/>
        <s v="Yofukashi no Uta Season 2"/>
        <s v="Silent Witch: Chinmoku no Majo no Kakushigoto"/>
        <s v="Seishun Buta Yarou wa Santa Claus no Yume wo Minai"/>
        <s v="Grand Blue Season 2"/>
        <s v="Mizu Zokusei no Mahoutsukai"/>
        <s v="Clevatess: Majuu no Ou to Akago to Shikabane no Yuusha"/>
        <s v="Tate no Yuusha no Nariagari Season 4"/>
        <s v="Tensei shitara Dainana Ouji Datta node, Kimama ni Majutsu wo Kiwamemasu 2nd Season"/>
        <s v="Isekai Mokushiroku Mynoghra: Hametsu no Bunmei de Hajimeru Sekai Seifuku"/>
        <s v="Mikadono Sanshimai wa Angai, Choroi."/>
        <s v="Kanojo, Okarishimasu 4th Season"/>
        <s v="Yuusha Party wo Tsuihou sareta Shiromadoushi, S-Rank Boukensha ni Hirowareru: Kono Shiromadoushi ga Kikakugai Sugiru"/>
        <s v="Tsuyokute New Saga"/>
        <s v="Watari-kun no xx ga Houkai Sunzen"/>
        <s v="Zutaboro Reijou wa Ane no Moto Konyakusha ni Dekiai sareru"/>
        <s v="Yami Shibai 15"/>
        <s v="Witch Watch"/>
        <s v="Shin Samurai-den Yaiba"/>
        <s v="Takopii no Genzai"/>
        <s v="Tu Bian Yingxiong X"/>
        <s v="Guimi Zhi Zhu: Xiaochou Pian"/>
        <s v="Xin Yichang Shengwu Jianwen Lu: Xu"/>
        <s v="Oogiri New Saga"/>
        <s v="Ling Tian Du Zun"/>
        <s v="Idobata Kaigi de New Saga"/>
        <s v="Ano Hi no Kanojo-tachi: Day 09 - Miu Takigawa"/>
        <s v="Shuangsheng Wu Hun"/>
        <s v="Tsuihou Shiromadoushi Mini Anime"/>
        <s v="Chainsaw Man Movie: Reze-hen"/>
        <s v="Kimetsu no Yaiba Movie 1: Mugenjou-hen - Akaza Sairai"/>
        <s v="Hyakuemu."/>
        <s v="Kimetsu no Yaiba Movie: Mugenjou-hen Manner Eizou"/>
        <s v="Langlang Shan Xiao Yaoguai"/>
        <s v="Silent Witch: Chinmoku no Majo no Kakushigoto - Sennyuu Kiroku"/>
        <s v="9: Ruler's Crown - Branch X"/>
        <s v="Enen no Shouboutai: San no Shou"/>
        <s v="Wind Breaker Season 2"/>
        <s v="Katainaka no Ossan, Kensei ni Naru"/>
        <s v="Saikyou no Ousama, Nidome no Jinsei wa Nani wo Suru?"/>
        <s v="Isshun de Chiryou shiteita noni Yakutatazu to Tsuihou sareta Tensai Chiyushi, Yami Healer toshite Tanoshiku Ikiru"/>
        <s v="Haite Kudasai, Takamine-san"/>
        <s v="Slime Taoshite 300-nen, Shiranai Uchi ni Level Max ni Nattemashita: Sono Ni"/>
        <s v="Shiunji-ke no Kodomotachi"/>
        <s v="Uma Musume: Cinderella Gray"/>
        <s v="Kanpekisugite Kawaige ga Nai to Konyaku Haki sareta Seijo wa Ringoku ni Urareru"/>
        <s v="Aharen-san wa Hakarenai Season 2"/>
        <s v="Apocalypse Hotel"/>
        <s v="Ninja to Koroshiya no Futarigurashi"/>
        <s v="Classic★Stars"/>
        <s v="Kanchigai no Atelier Meister Mini Anime"/>
        <s v="Shenguo Zhi Shang"/>
        <s v="Wo de Shixiong Tai Qiang Le"/>
        <s v="Terra Live"/>
        <s v="Yujin Xingzhe"/>
        <s v="Tsurezure PoPiPa"/>
        <s v="Ke Jin Wanjia"/>
        <s v="Wangzhe Rongyao: Rongyao Zhi Zhang - Mingyun Pian"/>
        <s v="Tun Tian Ji"/>
        <s v="Princess Principal: Crown Handler 4"/>
        <s v="Lupin the IIIrd the Movie: Fujimi no Ketsuzoku"/>
        <s v="Hyakushou Kizoku 2nd Season Specials"/>
        <s v="One Punch Man 3"/>
        <s v="Spy x Family Season 3"/>
        <s v="Boku no Hero Academia: Final Season"/>
        <s v="Ansatsusha de Aru Ore no Status ga Yuusha yori mo Akiraka ni Tsuyoi no da ga"/>
        <s v="Saigo ni Hitotsu dake Onegai shitemo Yoroshii deshou ka"/>
        <s v="Tondemo Skill de Isekai Hourou Meshi 2"/>
        <s v="Tomodachi no Imouto ga Ore ni dake Uzai"/>
        <s v="Yasei no Last Boss ga Arawareta!"/>
        <s v="Sanda"/>
        <s v="Towa no Yuugure"/>
        <s v="Watashi wo Tabetai, Hitodenashi"/>
        <s v="Uma Musume: Cinderella Gray Part 2"/>
        <s v="Monster Strike: Deadverse Reloaded"/>
        <s v="Xian Di Guilai"/>
        <s v="Xuan Jie Zhi Men"/>
        <s v="Aoshi Dan Shen"/>
        <s v="Jiu Yang Wushen"/>
        <s v="Ugoku! Neko Mukashibanashi"/>
        <s v="Koala Enikki"/>
        <s v="Kikaijikake no Marie Mini Anime"/>
        <s v="One Punch Man 2nd Season: Ichigeki de Wakaru! Maji Furikaeri!"/>
        <s v="Ore dake Level Up na Ken"/>
        <s v="Dungeon Meshi"/>
        <s v="Youkoso Jitsuryoku Shijou Shugi no Kyoushitsu e 3rd Season"/>
        <s v="Mashle: Shinkakusha Kouho Senbatsu Shiken-hen"/>
        <s v="Yubisaki to Renren"/>
        <s v="Tsuki ga Michibiku Isekai Douchuu 2nd Season"/>
        <s v="Chiyu Mahou no Machigatta Tsukaikata"/>
        <s v="Boku no Kokoro no Yabai Yatsu 2nd Season"/>
        <s v="Mato Seihei no Slave"/>
        <s v="Loop 7-kaime no Akuyaku Reijou wa, Moto Tekikoku de Jiyuu Kimama na Hanayome Seikatsu wo Mankitsu suru"/>
        <s v="Dosanko Gal wa Namara Menkoi"/>
        <s v="Akuyaku Reijou Level 99: Watashi wa Ura-Boss desu ga Maou dewa Arimasen"/>
        <s v="Mahou Shoujo ni Akogarete"/>
        <s v="Sokushi Cheat ga Saikyou sugite, Isekai no Yatsura ga Marude Aite ni Naranai n desu ga."/>
        <s v="Majo to Yajuu"/>
        <s v="Ao no Exorcist: Shimane Illuminati-hen"/>
        <s v="Shin no Nakama ja Nai to Yuusha no Party wo Oidasareta node, Henkyou de Slow Life suru Koto ni Shimashita 2nd"/>
        <s v="Kekkon Yubiwa Monogatari"/>
        <s v="Saijaku Tamer wa Gomi Hiroi no Tabi wo Hajimemashita."/>
        <s v="Ishura"/>
        <s v="Gekai Elise"/>
        <s v="Metallic Rouge"/>
        <s v="Kyuujitsu no Warumono-san"/>
        <s v="Isekai de Mofumofu Nadenade suru Tame ni Ganbattemasu."/>
        <s v="High Card Season 2"/>
        <s v="Harimaware! Koinu"/>
        <s v="Sousou no Frieren"/>
        <s v="Kusuriya no Hitorigoto"/>
        <s v="Shangri-La Frontier: Kusoge Hunter, Kamige ni Idoman to su"/>
        <s v="Undead Unluck"/>
        <s v="Ragna Crimson"/>
        <s v="Dog Signal"/>
        <s v="Aishang Ta de Liyou Extra"/>
        <s v="MF Ghost Battle Digest"/>
        <s v="Xiao Lu He Xiao Lan V: Mofa Pian"/>
        <s v="Lili Kurong"/>
        <s v="Guonian Zhe Lianmeng: Xun Long Ji"/>
        <s v="Kuang Wang"/>
        <s v="Bridge: My Little Friends"/>
        <s v="Holostars★Survival: Oretachi no Kaitaku Seikatsu"/>
        <s v="Shenlong Xing Zhu"/>
        <s v="SINoALICE: Ichiban Saigo no Monogatari"/>
        <s v="Amedama"/>
        <s v="Science SARU x MBS Original Short Anime Daisakusen!"/>
        <s v="The iDOLM@STER Million Live!: The Backstage"/>
        <s v="[Oshi no Ko] 2nd Season"/>
        <s v="Tokidoki Bosotto Russia-go de Dereru Tonari no Alya-san"/>
        <s v="Make Heroine ga Oosugiru!"/>
        <s v="Kami no Tou: Ouji no Kikan"/>
        <s v="Shikanoko Nokonoko Koshitantan"/>
        <s v="Isekai Shikkaku"/>
        <s v="Hazurewaku no &quot;Joutai Ijou Skill&quot; de Saikyou ni Natta Ore ga Subete wo Juurin suru made"/>
        <s v="Giji Harem"/>
        <s v="Ore wa Subete wo &quot;Parry&quot; suru: Gyaku Kanchigai no Sekai Saikyou wa Boukensha ni Naritai"/>
        <s v="2.5-jigen no Ririsa"/>
        <s v="Naze Boku no Sekai wo Daremo Oboeteinai no ka?"/>
        <s v="Boku no Hero Academia 7th Season"/>
        <s v="Tensei shitara Slime Datta Ken 3rd Season"/>
        <s v="Ookami to Koushinryou: Merchant Meets the Wise Wolf"/>
        <s v="Koneko no Chi: Ponponraa Natsuyasumi"/>
        <s v="You Shou Yan 4th Season"/>
        <s v="Liselotte no Wakuwaku Magical Shoukai"/>
        <s v="Ling Wu Dalu"/>
        <s v="Feng Ling Yu Xiu 2nd Season Special"/>
        <s v="Zhui Xu 2nd Season"/>
        <s v="Nian Wushuang"/>
        <s v="Shixiong A Shixiong 3rd Season"/>
        <s v="Tian Ying"/>
        <s v="Wujin Shenyu"/>
        <s v="Yishi Du Zun 2nd Season"/>
        <s v="Jiu Wo"/>
        <s v="New Jersey and Enterprise's Beach Vacation"/>
        <s v="San Shaonu"/>
        <s v="Kimetsu no Yaiba: Hashira Geiko-hen"/>
        <s v="Kaijuu 8-gou"/>
        <s v="Mushoku Tensei II: Isekai Ittara Honki Dasu Part 2"/>
        <s v="Kono Subarashii Sekai ni Shukufuku wo! 3"/>
        <s v="Wind Breaker"/>
        <s v="Tensei shitara Dainana Ouji Datta node, Kimama ni Majutsu wo Kiwamemasu"/>
        <s v="Lv2 kara Cheat datta Motoyuusha Kouho no Mattari Isekai Life"/>
        <s v="Maou Gakuin no Futekigousha II: Shijou Saikyou no Maou no Shiso, Tensei shite Shison-tachi no Gakkou e Kayou Part 2"/>
        <s v="Tensei Kizoku, Kantei Skill de Nariagaru"/>
        <s v="Re:Monster"/>
        <s v="Jiisan Baasan Wakagaeru"/>
        <s v="Yoru no Kurage wa Oyogenai"/>
        <s v="Kami wa Game ni Ueteiru."/>
        <s v="Kenka Dokugaku"/>
        <s v="Shibuya♡Hachi"/>
        <s v="Nyaaaanvy"/>
        <s v="You Shou Yan 3rd Season"/>
        <s v="Hui Ming: Fenghuo San Yue"/>
        <s v="Juan Siliang 2nd Season"/>
        <s v="San Xiu Zhi Wang"/>
        <s v="Shen Zhi Yi Jiao"/>
        <s v="Xiaobing Chuanqi"/>
        <s v="Jiandao Di Yi Xian 2nd Season"/>
        <s v="Ludi Jian Xian"/>
        <s v="Fudanshi Shoukan: Isekai de Shinjuu ni Hameraremashita 7th Season"/>
        <s v="Harinezumi no Luchika"/>
        <s v="Shi Dao Zhe"/>
        <s v="Look Back"/>
        <s v="First Line"/>
        <s v="Shadowverse Flame: Seven Shadows-hen Recap"/>
        <s v="Shadowverse Flame: Arc-hen Recaps"/>
        <s v="Dandadan"/>
        <s v="Bleach: Sennen Kessen-hen - Soukoku-tan"/>
        <s v="Uzumaki"/>
        <s v="Seirei Gensouki 2"/>
        <s v="Ranma ½ (2024)"/>
        <s v="Nageki no Bourei wa Intai shitai"/>
        <s v="Raise wa Tanin ga Ii"/>
        <s v="Kami no Tou: Koubou-sen"/>
        <s v="Kekkon suru tte, Hontou desu ka"/>
        <s v="Kamierabi 2nd Season"/>
        <s v="Wan Jie Du Zun 3rd Season"/>
        <s v="Dushi Gu Xian Yi"/>
        <s v="Zongmen Li Chule Wo Dou Shi Wodi"/>
        <s v="Tudi Ge Ge Shi Da Lao"/>
        <s v="Hu He Yao Shi Lu"/>
        <s v="Naoe-kun wa Yasesasetai. (ONA)"/>
        <s v="Wo Neng Wuxian Dunwu"/>
        <s v="Wangu Zui Qiang Zong"/>
        <s v="Nintama Rantarou Movie: Dokutake Ninja Tai Saikyou no Gunshi"/>
        <s v="Kidou Senshi Gundam: ALC Encounter"/>
        <s v="Vinland Saga Season 2"/>
        <s v="Tomo-chan wa Onnanoko!"/>
        <s v="Otonari no Tenshi-sama ni Itsunomanika Dame Ningen ni Sareteita Ken"/>
        <s v="Tokyo Revengers: Seiya Kessen-hen"/>
        <s v="Maou Gakuin no Futekigousha II: Shijou Saikyou no Maou no Shiso, Tensei shite Shison-tachi no Gakkou e Kayou"/>
        <s v="Bungou Stray Dogs 4th Season"/>
        <s v="Buddy Daddies"/>
        <s v="NieR:Automata Ver1.1a"/>
        <s v="Tondemo Skill de Isekai Hourou Meshi"/>
        <s v="Ijiranaide, Nagatoro-san 2nd Attack"/>
        <s v="Dungeon ni Deai wo Motomeru no wa Machigatteiru Darou ka IV: Shin Shou - Yakusai-hen"/>
        <s v="Itai no wa Iya nanode Bougyoryoku ni Kyokufuri Shitai to Omoimasu. 2"/>
        <s v="Kubo-san wa Mob wo Yurusanai"/>
        <s v="Trigun Stampede"/>
        <s v="Tensei Oujo to Tensai Reijou no Mahou Kakumei"/>
        <s v="Benriya Saitou-san, Isekai ni Iku"/>
        <s v="Kyokou Suiri Season 2"/>
        <s v="Eiyuuou, Bu wo Kiwameru Tame Tenseisu: Soshite, Sekai Saikyou no Minarai Kishi♀"/>
        <s v="Sugar Apple Fairy Tale"/>
        <s v="Kami-tachi ni Hirowareta Otoko 2nd Season"/>
        <s v="Boruto: Naruto Next Generations"/>
        <s v="Blue Lock"/>
        <s v="Kage no Jitsuryokusha ni Naritakute!"/>
        <s v="Boku no Hero Academia 6th Season"/>
        <s v="Isekai Ojisan"/>
        <s v="Fumetsu no Anata e Season 2"/>
        <s v="Cool Doji Danshi"/>
        <s v="Fate/Grand Order: Fujimaru Ritsuka wa Wakaranai"/>
        <s v="Hua Jianghu: Bu Liang Ren VI"/>
        <s v="Jiuzhou Piaomiao Lu"/>
        <s v="Tsuru ga Mau Yoru ni"/>
        <s v="Xi Xing Ji: Anying Mo Cheng"/>
        <s v="Moshi Meta: Moshi Joshikousei ga Metaverse de Miko ni Nattara"/>
        <s v="Wander Burabura Bakkamu"/>
        <s v="Mushoku Tensei II: Isekai Ittara Honki Dasu"/>
        <s v="Zom 100: Zombie ni Naru made ni Shitai 100 no Koto"/>
        <s v="Bleach: Sennen Kessen-hen - Ketsubetsu-tan"/>
        <s v="Watashi no Shiawase na Kekkon"/>
        <s v="Masamune-kun no Revenge R"/>
        <s v="Kanojo, Okarishimasu 3rd Season"/>
        <s v="Undead Girl Murder Farce"/>
        <s v="Hataraku Maou-sama!! 2nd Season"/>
        <s v="Higeki no Genkyou to Naru Saikyou Gedou Last Boss Joou wa Tami no Tame ni Tsukushimasu."/>
        <s v="Temple"/>
        <s v="Shinigami Bocchan to Kuro Maid 2nd Season"/>
        <s v="Shiguang Dailiren II"/>
        <s v="Tonikaku Kawaii: Joshikou-hen"/>
        <s v="Xiao Lu He Xiao Lan III: Mo Wang Pian"/>
        <s v="Shi Fang Jian Sheng"/>
        <s v="Eldraine no Mori: Twin Fates"/>
        <s v="Wu Ying Sanqian Dao 2nd Season"/>
        <s v="Synduality: Kagaku Kouza"/>
        <s v="Guaishou Xiao Guan"/>
        <s v="Mo Zhuang Chuanshuo"/>
        <s v="Jinyi Shen Jiang"/>
        <s v="Azur Lane 5th Anniversary: The Best Gift From Enterprise"/>
        <s v="Mushoku Tensei II: Isekai Ittara Honki Dasu - Shugo Jutsushi Fitz"/>
        <s v="[Oshi no Ko]"/>
        <s v="Jigokuraku"/>
        <s v="Mashle"/>
        <s v="Tengoku Daimakyou"/>
        <s v="Dr. Stone: New World"/>
        <s v="Yamada-kun to Lv999 no Koi wo Suru"/>
        <s v="Boku no Kokoro no Yabai Yatsu"/>
        <s v="Kono Subarashii Sekai ni Bakuen wo!"/>
        <s v="Isekai de Cheat Skill wo Te ni Shita Ore wa, Genjitsu Sekai wo mo Musou Suru: Level Up wa Jinsei wo Kaeta"/>
        <s v="Skip to Loafer"/>
        <s v="Kimi wa Houkago Insomnia"/>
        <s v="Mahoutsukai no Yome Season 2"/>
        <s v="Kanojo ga Koushaku-tei ni Itta Riyuu"/>
        <s v="Isekai wa Smartphone to Tomo ni. 2"/>
        <s v="Megami no Café Terrace"/>
        <s v="Ousama Ranking: Yuuki no Takarabako"/>
        <s v="Yuusha ga Shinda!"/>
        <s v="YouTuNya"/>
        <s v="Genjitsu no Rimuru: Sunshine in the Slime"/>
        <s v="Qing Lian Jian Xian Zhuan"/>
        <s v="Jiu Tian Xuan Di Jue 4th Season"/>
        <s v="Fudanshi Shoukan: Isekai de Shinjuu ni Hameraremashita 5th Season"/>
        <s v="Black Clover: Mahou Tei no Ken"/>
        <s v="Shin Shinka no Mi Gekijou Special"/>
        <s v="Spy x Family Season 2"/>
        <s v="Kage no Jitsuryokusha ni Naritakute! 2nd Season"/>
        <s v="Tate no Yuusha no Nariagari Season 3"/>
        <s v="Dr. Stone: New World Part 2"/>
        <s v="Goblin Slayer II"/>
        <s v="Kimi no Koto ga Daidaidaidaidaisuki na 100-nin no Kanojo"/>
        <s v="Tokyo Revengers: Tenjiku-hen"/>
        <s v="Boushoku no Berserk"/>
        <s v="Keikenzumi na Kimi to, Keiken Zero na Ore ga, Otsukiai suru Hanashi."/>
        <s v="Seiken Gakuin no Makentsukai"/>
        <s v="Saihate no Paladin: Tetsusabi no Yama no Ou"/>
        <s v="Pluto"/>
        <s v="Zaiyuki Pilot"/>
        <s v="Xiao Lu He Xiao Lan IV: Mofa Pian"/>
        <s v="Shaonian Ge Xing: Haiwai Xianshan Pian"/>
        <s v="Shen Cang"/>
        <s v="Shenyuan Youxi"/>
        <s v="Bokura no Ame-iro Protocol Mini Anime"/>
        <s v="Otome Game no Hametsu Flag shika Nai Akuyaku Reijou ni Tensei shiteshimatta... Movie Honpen Mae Special Eizou"/>
        <s v="Sanshiliu Qi"/>
        <s v="Hua Jianghu: Tiangang"/>
        <s v="Quan Zhi Ming"/>
        <s v="Spy x Family Movie: Code: White"/>
        <s v="Kimetsu no Yaiba: Yuukaku-hen"/>
        <s v="Shingeki no Kyojin: The Final Season Part 2"/>
        <s v="Sono Bisque Doll wa Koi wo Suru"/>
        <s v="Arifureta Shokugyou de Sekai Saikyou 2nd Season"/>
        <s v="Vanitas no Karte Part 2"/>
        <s v="Shikkakumon no Saikyou Kenja"/>
        <s v="Sabikui Bisco"/>
        <s v="Sasaki to Miyano"/>
        <s v="Akebi-chan no Sailor-fuku"/>
        <s v="Karakai Jouzu no Takagi-san 3"/>
        <s v="Orient"/>
        <s v="Ousama Ranking"/>
        <s v="86 Part 2"/>
        <s v="Platinum End"/>
        <s v="Shaman King (2021)"/>
        <s v="Kotarou wa Hitorigurashi"/>
        <s v="Uchuu Camper Chicchi"/>
        <s v="SpoGomi: World Cup Exhibition Match-hen"/>
        <s v="Tenjin"/>
        <s v="Zhen Dao Ge: Chenshi Hang"/>
        <s v="Inzai Aru Aru Monogatari"/>
        <s v="Mao Zhi Ming Specials"/>
        <s v="Ore, Tsushima x Na Mo Naki Nezumi"/>
        <s v="Youkoso Jitsuryoku Shijou Shugi no Kyoushitsu e 2nd Season"/>
        <s v="Yofukashi no Uta"/>
        <s v="Overlord IV"/>
        <s v="Lycoris Recoil"/>
        <s v="Made in Abyss: Retsujitsu no Ougonkyou"/>
        <s v="Hataraku Maou-sama!!"/>
        <s v="Kanojo, Okarishimasu 2nd Season"/>
        <s v="Dungeon ni Deai wo Motomeru no wa Machigatteiru Darou ka IV: Shin Shou - Meikyuu-hen"/>
        <s v="Isekai Yakkyoku"/>
        <s v="Kumichou Musume to Sewagakari"/>
        <s v="Tensei Kenja no Isekai Life: Dai-2 no Shokugyou wo Ete, Sekai Saikyou ni Narimashita"/>
        <s v="Shadows House 2nd Season"/>
        <s v="JoJo no Kimyou na Bouken Part 6: Stone Ocean Part 2"/>
        <s v="Yi Nian Yong Heng 2nd Season"/>
        <s v="Zhu Xian"/>
        <s v="Li Ba Shanhe Xi Zitang"/>
        <s v="MyGO!!!!! Member no Nichijou"/>
        <s v="Xi Xing Ji: Qiong Qi Didong"/>
        <s v="Anata no France wa Donna Tokoro?"/>
        <s v="Midnight Grand Mos Burger"/>
        <s v="Natsu e no Tunnel, Sayonara no Deguchi"/>
        <s v="Dr. Stone: Ryuusui"/>
        <s v="Shadowverse Flame Recaps"/>
        <s v="Spy x Family"/>
        <s v="Tate no Yuusha no Nariagari Season 2"/>
        <s v="Komi-san wa, Comyushou desu. 2nd Season"/>
        <s v="Tomodachi Game"/>
        <s v="Aharen-san wa Hakarenai"/>
        <s v="Gaikotsu Kishi-sama, Tadaima Isekai e Odekakechuu"/>
        <s v="Yuusha, Yamemasu"/>
        <s v="Shijou Saikyou no Daimaou, Murabito A ni Tensei suru"/>
        <s v="Paripi Koumei"/>
        <s v="Date A Live IV"/>
        <s v="Xinghe Zhizun 2nd Season"/>
        <s v="Xiaoke de Huatu Xie Hua Specials"/>
        <s v="Jewelpet: Attack Travel!"/>
        <s v="Shaonian Ge Xing: Feng Hua Xue Yue Pian Special"/>
        <s v="Rebirth: Yuu vs. Great-O-Khan"/>
        <s v="5-toubun no Hanayome Movie"/>
        <s v="Usagi (Special)"/>
        <s v="DEathMAtCH: Real ni Koishiteru"/>
        <s v="Mob Psycho 100 III"/>
        <s v="Bocchi the Rock!"/>
        <s v="Bleach: Sennen Kessen-hen"/>
        <s v="Uzaki-chan wa Asobitai! Double"/>
        <s v="JoJo no Kimyou na Bouken Part 6: Stone Ocean Part 3"/>
        <s v="Suzume no Tojimari"/>
        <s v="Fresh Peach"/>
        <s v="Shingeki no Kyojin: The Final Season"/>
        <s v="Horimiya"/>
        <s v="Dr. Stone: Stone Wars"/>
        <s v="Yakusoku no Neverland 2nd Season"/>
        <s v="Wonder Egg Priority"/>
        <s v="5-toubun no Hanayome ∬"/>
        <s v="SK∞"/>
        <s v="Kumo desu ga, Nani ka?"/>
        <s v="Beastars 2nd Season"/>
        <s v="Nanatsu no Taizai: Funnu no Shinpan"/>
        <s v="Jaku-Chara Tomozaki-kun"/>
        <s v="Ore dake Haireru Kakushi Dungeon"/>
        <s v="Kemono Jihen"/>
        <s v="Tatoeba Last Dungeon Mae no Mura no Shounen ga Joban no Machi de Kurasu Youna Monogatari"/>
        <s v="Hataraku Saibou!!"/>
        <s v="Yuru Camp△ Season 2"/>
        <s v="Jujutsu Kaisen"/>
        <s v="Higurashi no Naku Koro ni Gou"/>
        <s v="Tenkuu Shinpan"/>
        <s v="Shouxi Yu Ling Shi 2"/>
        <s v="Deliver Police: Nishitokyo-shi Deliver Keisatsutai"/>
        <s v="Oshiete Hokusai! The Animation"/>
        <s v="Shichigahama de Mitsuketa"/>
        <s v="Gudetama: Muhou Chitai de Jiyuu mo Fujiyuu"/>
        <s v="Rakka-sei"/>
        <s v="Koi wa 1-nichi ni Shite Narazu"/>
        <s v="23-ji no Saga Meshi Anime"/>
        <s v="Tasuuketsu: Judgement Assizes"/>
        <s v="Tensei shitara Slime Datta Ken 2nd Season Part 2"/>
        <s v="Kobayashi-san Chi no Maid Dragon S"/>
        <s v="Seirei Gensouki"/>
        <s v="Kanojo mo Kanojo"/>
        <s v="Tantei wa Mou, Shindeiru."/>
        <s v="Bokutachi no Remake"/>
        <s v="Shinigami Bocchan to Kuro Maid"/>
        <s v="Meikyuu Black Company"/>
        <s v="Heion Sedai no Idaten-tachi"/>
        <s v="Peach Boy Riverside"/>
        <s v="Fumetsu no Anata e"/>
        <s v="Mairimashita! Iruma-kun 2nd Season"/>
        <s v="Chunqiu Feng Shen"/>
        <s v="Shabake (ONA)"/>
        <s v="Xian Yu Ge"/>
        <s v="A Qi Aoyou Ji"/>
        <s v="Sou Xuan Lu Zhi Chen Ling Ji"/>
        <s v="Tesla Note: Mickey to Oliver no Agent Yousei Kouza"/>
        <s v="Youxia Zhanji"/>
        <s v="Fire Emblem Heroes: Chibi Playhouse"/>
        <s v="Azur Lane 3rd Anniversary: Stars of the Port"/>
        <s v="Cider no You ni Kotoba ga Wakiagaru"/>
        <s v="86"/>
        <s v="Ijiranaide, Nagatoro-san"/>
        <s v="Hige wo Soru. Soshite Joshikousei wo Hirou."/>
        <s v="Vivy: Fluorite Eye's Song"/>
        <s v="Fruits Basket: The Final"/>
        <s v="Odd Taxi"/>
        <s v="Isekai Maou to Shoukan Shoujo no Dorei Majutsu Ω"/>
        <s v="Slime Taoshite 300-nen, Shiranai Uchi ni Level Max ni Nattemashita"/>
        <s v="Bakuten!!"/>
        <s v="Hyper Positive Yogoremon"/>
        <s v="Gokushufudou"/>
        <s v="Mini Van Large"/>
        <s v="Hua Jianghu: Bu Liang Ren IV"/>
        <s v="Xing Hai Qishi: Xia Ban Ji"/>
        <s v="Hua Jianghu: Huan Shi Men Sheng 2nd Season"/>
        <s v="Rhythmens"/>
        <s v="Wonder Egg Priority: Watashi no Priority"/>
        <s v="Kimetsu no Yaiba: Mugen Ressha-hen"/>
        <s v="Sekai Saikou no Ansatsusha, Isekai Kizoku ni Tensei suru"/>
        <s v="Takt Op. Destiny"/>
        <s v="Blue Period"/>
        <s v="Shin no Nakama ja Nai to Yuusha no Party wo Oidasareta node, Henkyou de Slow Life suru Koto ni Shimashita"/>
        <s v="Shinka no Mi: Shiranai Uchi ni Kachigumi Jinsei"/>
        <s v="JoJo no Kimyou na Bouken Part 6: Stone Ocean"/>
        <s v="Feng Qi Luoyang: Shen Ji Shaonian"/>
        <s v="Bai Yue Er"/>
        <s v="Koukaku Kidoutai: SAC_2045 - Jizoku Kanou Sensou"/>
        <s v="Pukkulapottas to Mori no Jikan"/>
      </sharedItems>
    </cacheField>
    <cacheField name="Popularity/Members" numFmtId="0">
      <sharedItems containsSemiMixedTypes="0" containsString="0" containsNumber="1" containsInteger="1" minValue="275" maxValue="3000000" count="623">
        <n v="482000"/>
        <n v="441000"/>
        <n v="344000"/>
        <n v="275000"/>
        <n v="243000"/>
        <n v="171000"/>
        <n v="157000"/>
        <n v="114000"/>
        <n v="94000"/>
        <n v="93000"/>
        <n v="84000"/>
        <n v="80000"/>
        <n v="74000"/>
        <n v="73000"/>
        <n v="71000"/>
        <n v="70000"/>
        <n v="68000"/>
        <n v="65000"/>
        <n v="63000"/>
        <n v="55000"/>
        <n v="48000"/>
        <n v="47000"/>
        <n v="45000"/>
        <n v="44000"/>
        <n v="42000"/>
        <n v="41000"/>
        <n v="40000"/>
        <n v="39000"/>
        <n v="38000"/>
        <n v="37000"/>
        <n v="34000"/>
        <n v="33000"/>
        <n v="30000"/>
        <n v="25000"/>
        <n v="24000"/>
        <n v="22000"/>
        <n v="20000"/>
        <n v="13000"/>
        <n v="9000"/>
        <n v="8900"/>
        <n v="7200"/>
        <n v="7100"/>
        <n v="6300"/>
        <n v="4600"/>
        <n v="4100"/>
        <n v="2600"/>
        <n v="2100"/>
        <n v="1600"/>
        <n v="2700000"/>
        <n v="377000"/>
        <n v="148000"/>
        <n v="81000"/>
        <n v="60000"/>
        <n v="49000"/>
        <n v="17000"/>
        <n v="10000"/>
        <n v="9300"/>
        <n v="8800"/>
        <n v="8500"/>
        <n v="7500"/>
        <n v="6500"/>
        <n v="3900"/>
        <n v="182000"/>
        <n v="79000"/>
        <n v="50000"/>
        <n v="28000"/>
        <n v="15000"/>
        <n v="14000"/>
        <n v="12000"/>
        <n v="11000"/>
        <n v="6900"/>
        <n v="5900"/>
        <n v="5000"/>
        <n v="3800"/>
        <n v="3400"/>
        <n v="1700"/>
        <n v="1200"/>
        <n v="945"/>
        <n v="915"/>
        <n v="755"/>
        <n v="654"/>
        <n v="651"/>
        <n v="348"/>
        <n v="16000"/>
        <n v="9100"/>
        <n v="2700"/>
        <n v="31000"/>
        <n v="5700"/>
        <n v="2400"/>
        <n v="1400"/>
        <n v="146000"/>
        <n v="108000"/>
        <n v="102000"/>
        <n v="57000"/>
        <n v="56000"/>
        <n v="35000"/>
        <n v="32000"/>
        <n v="23000"/>
        <n v="18000"/>
        <n v="53000"/>
        <n v="763000"/>
        <n v="495000"/>
        <n v="487000"/>
        <n v="299000"/>
        <n v="173000"/>
        <n v="169000"/>
        <n v="163000"/>
        <n v="151000"/>
        <n v="147000"/>
        <n v="135000"/>
        <n v="130000"/>
        <n v="129000"/>
        <n v="125000"/>
        <n v="123000"/>
        <n v="120000"/>
        <n v="112000"/>
        <n v="100000"/>
        <n v="99000"/>
        <n v="98000"/>
        <n v="89000"/>
        <n v="85000"/>
        <n v="72000"/>
        <n v="67000"/>
        <n v="62000"/>
        <n v="26000"/>
        <n v="5800"/>
        <n v="5500"/>
        <n v="490000"/>
        <n v="325000"/>
        <n v="286000"/>
        <n v="259000"/>
        <n v="216000"/>
        <n v="200000"/>
        <n v="136000"/>
        <n v="111000"/>
        <n v="109000"/>
        <n v="7900"/>
        <n v="6700"/>
        <n v="54000"/>
        <n v="994"/>
        <n v="954"/>
        <n v="777"/>
        <n v="659"/>
        <n v="620"/>
        <n v="594"/>
        <n v="570"/>
        <n v="523"/>
        <n v="514"/>
        <n v="513"/>
        <n v="500"/>
        <n v="486"/>
        <n v="438"/>
        <n v="423"/>
        <n v="9500"/>
        <n v="8300"/>
        <n v="3000"/>
        <n v="938"/>
        <n v="534000"/>
        <n v="472000"/>
        <n v="454000"/>
        <n v="436000"/>
        <n v="356000"/>
        <n v="287000"/>
        <n v="246000"/>
        <n v="237000"/>
        <n v="209000"/>
        <n v="208000"/>
        <n v="194000"/>
        <n v="191000"/>
        <n v="188000"/>
        <n v="175000"/>
        <n v="137000"/>
        <n v="121000"/>
        <n v="106000"/>
        <n v="91000"/>
        <n v="86000"/>
        <n v="83000"/>
        <n v="69000"/>
        <n v="64000"/>
        <n v="3500"/>
        <n v="205000"/>
        <n v="43000"/>
        <n v="304000"/>
        <n v="242000"/>
        <n v="199000"/>
        <n v="695"/>
        <n v="662"/>
        <n v="656"/>
        <n v="605"/>
        <n v="588"/>
        <n v="556"/>
        <n v="517"/>
        <n v="444000"/>
        <n v="360000"/>
        <n v="66000"/>
        <n v="2800"/>
        <n v="953"/>
        <n v="9600"/>
        <n v="601"/>
        <n v="308000"/>
        <n v="224000"/>
        <n v="181000"/>
        <n v="179000"/>
        <n v="160000"/>
        <n v="127000"/>
        <n v="126000"/>
        <n v="118000"/>
        <n v="97000"/>
        <n v="90000"/>
        <n v="88000"/>
        <n v="75000"/>
        <n v="59000"/>
        <n v="6600"/>
        <n v="955"/>
        <n v="888"/>
        <n v="835"/>
        <n v="799"/>
        <n v="734"/>
        <n v="628"/>
        <n v="621"/>
        <n v="551"/>
        <n v="524"/>
        <n v="7000"/>
        <n v="5400"/>
        <n v="972"/>
        <n v="432000"/>
        <n v="332000"/>
        <n v="293000"/>
        <n v="166000"/>
        <n v="161000"/>
        <n v="132000"/>
        <n v="110000"/>
        <n v="105000"/>
        <n v="104000"/>
        <n v="78000"/>
        <n v="76000"/>
        <n v="61000"/>
        <n v="5300"/>
        <n v="911"/>
        <n v="871"/>
        <n v="863"/>
        <n v="756"/>
        <n v="749"/>
        <n v="746"/>
        <n v="451"/>
        <n v="7700"/>
        <n v="1100000"/>
        <n v="574000"/>
        <n v="523000"/>
        <n v="504000"/>
        <n v="342000"/>
        <n v="330000"/>
        <n v="321000"/>
        <n v="305000"/>
        <n v="267000"/>
        <n v="233000"/>
        <n v="221000"/>
        <n v="206000"/>
        <n v="203000"/>
        <n v="190000"/>
        <n v="189000"/>
        <n v="183000"/>
        <n v="155000"/>
        <n v="143000"/>
        <n v="141000"/>
        <n v="134000"/>
        <n v="117000"/>
        <n v="116000"/>
        <n v="107000"/>
        <n v="96000"/>
        <n v="52000"/>
        <n v="962"/>
        <n v="1400000"/>
        <n v="821000"/>
        <n v="455000"/>
        <n v="346000"/>
        <n v="280000"/>
        <n v="8600"/>
        <n v="9900"/>
        <n v="854"/>
        <n v="831"/>
        <n v="813"/>
        <n v="805"/>
        <n v="775"/>
        <n v="680"/>
        <n v="559"/>
        <n v="493"/>
        <n v="719"/>
        <n v="313"/>
        <n v="833"/>
        <n v="460"/>
        <n v="511000"/>
        <n v="493000"/>
        <n v="327000"/>
        <n v="290000"/>
        <n v="276000"/>
        <n v="235000"/>
        <n v="227000"/>
        <n v="223000"/>
        <n v="215000"/>
        <n v="159000"/>
        <n v="139000"/>
        <n v="471000"/>
        <n v="470000"/>
        <n v="260000"/>
        <n v="981"/>
        <n v="940"/>
        <n v="884"/>
        <n v="878"/>
        <n v="874"/>
        <n v="811"/>
        <n v="802"/>
        <n v="753"/>
        <n v="742"/>
        <n v="702"/>
        <n v="578"/>
        <n v="480"/>
        <n v="393"/>
        <n v="943"/>
        <n v="762000"/>
        <n v="719000"/>
        <n v="564000"/>
        <n v="545000"/>
        <n v="457000"/>
        <n v="262000"/>
        <n v="249000"/>
        <n v="207000"/>
        <n v="193000"/>
        <n v="186000"/>
        <n v="150000"/>
        <n v="133000"/>
        <n v="103000"/>
        <n v="95000"/>
        <n v="832"/>
        <n v="612"/>
        <n v="986"/>
        <n v="982"/>
        <n v="917"/>
        <n v="794"/>
        <n v="751"/>
        <n v="693"/>
        <n v="671"/>
        <n v="610"/>
        <n v="440"/>
        <n v="428"/>
        <n v="312"/>
        <n v="238000"/>
        <n v="750"/>
        <n v="464"/>
        <n v="445"/>
        <n v="953000"/>
        <n v="291000"/>
        <n v="244000"/>
        <n v="198000"/>
        <n v="167000"/>
        <n v="165000"/>
        <n v="153000"/>
        <n v="138000"/>
        <n v="122000"/>
        <n v="8700"/>
        <n v="848"/>
        <n v="804"/>
        <n v="786"/>
        <n v="768"/>
        <n v="696"/>
        <n v="655"/>
        <n v="644"/>
        <n v="552"/>
        <n v="834"/>
        <n v="585"/>
        <n v="844000"/>
        <n v="505000"/>
        <n v="434000"/>
        <n v="426000"/>
        <n v="405000"/>
        <n v="357000"/>
        <n v="353000"/>
        <n v="336000"/>
        <n v="334000"/>
        <n v="333000"/>
        <n v="292000"/>
        <n v="273000"/>
        <n v="254000"/>
        <n v="234000"/>
        <n v="229000"/>
        <n v="226000"/>
        <n v="187000"/>
        <n v="178000"/>
        <n v="152000"/>
        <n v="142000"/>
        <n v="929000"/>
        <n v="887000"/>
        <n v="856000"/>
        <n v="814000"/>
        <n v="425000"/>
        <n v="338000"/>
        <n v="113000"/>
        <n v="8400"/>
        <n v="796"/>
        <n v="765"/>
        <n v="626"/>
        <n v="624"/>
        <n v="511"/>
        <n v="388"/>
        <n v="747000"/>
        <n v="675000"/>
        <n v="408000"/>
        <n v="380000"/>
        <n v="257000"/>
        <n v="220000"/>
        <n v="184000"/>
        <n v="176000"/>
        <n v="128000"/>
        <n v="124000"/>
        <n v="101000"/>
        <n v="170000"/>
        <n v="77000"/>
        <n v="997"/>
        <n v="993"/>
        <n v="978"/>
        <n v="930"/>
        <n v="865"/>
        <n v="754"/>
        <n v="686"/>
        <n v="618"/>
        <n v="565"/>
        <n v="245000"/>
        <n v="1000000"/>
        <n v="939000"/>
        <n v="786000"/>
        <n v="624000"/>
        <n v="598000"/>
        <n v="543000"/>
        <n v="437000"/>
        <n v="389000"/>
        <n v="387000"/>
        <n v="341000"/>
        <n v="274000"/>
        <n v="218000"/>
        <n v="196000"/>
        <n v="174000"/>
        <n v="164000"/>
        <n v="162000"/>
        <n v="156000"/>
        <n v="902"/>
        <n v="9700"/>
        <n v="916"/>
        <n v="837"/>
        <n v="736"/>
        <n v="268000"/>
        <n v="959"/>
        <n v="672000"/>
        <n v="528000"/>
        <n v="520000"/>
        <n v="423000"/>
        <n v="411000"/>
        <n v="326000"/>
        <n v="270000"/>
        <n v="255000"/>
        <n v="230000"/>
        <n v="177000"/>
        <n v="145000"/>
        <n v="248000"/>
        <n v="973"/>
        <n v="950"/>
        <n v="770"/>
        <n v="691"/>
        <n v="645"/>
        <n v="637"/>
        <n v="634"/>
        <n v="609"/>
        <n v="462"/>
        <n v="461"/>
        <n v="247000"/>
        <n v="1700000"/>
        <n v="1500000"/>
        <n v="1300000"/>
        <n v="459000"/>
        <n v="343000"/>
        <n v="296000"/>
        <n v="278000"/>
        <n v="236000"/>
        <n v="214000"/>
        <n v="211000"/>
        <n v="131000"/>
        <n v="752000"/>
        <n v="636000"/>
        <n v="418000"/>
        <n v="283000"/>
        <n v="204000"/>
        <n v="970"/>
        <n v="927"/>
        <n v="861"/>
        <n v="851"/>
        <n v="715"/>
        <n v="706"/>
        <n v="606"/>
        <n v="791000"/>
        <n v="765000"/>
        <n v="631000"/>
        <n v="591000"/>
        <n v="536000"/>
        <n v="524000"/>
        <n v="473000"/>
        <n v="406000"/>
        <n v="272000"/>
        <n v="261000"/>
        <n v="252000"/>
        <n v="140000"/>
        <n v="351000"/>
        <n v="9400"/>
        <n v="5600"/>
        <n v="897"/>
        <n v="879"/>
        <n v="630"/>
        <n v="581"/>
        <n v="518"/>
        <n v="250000"/>
        <n v="383000"/>
        <n v="733"/>
        <n v="1900000"/>
        <n v="863000"/>
        <n v="554000"/>
        <n v="489000"/>
        <n v="392000"/>
        <n v="372000"/>
        <n v="354000"/>
        <n v="339000"/>
        <n v="329000"/>
        <n v="289000"/>
        <n v="975"/>
        <n v="898"/>
        <n v="862"/>
        <n v="776"/>
        <n v="299"/>
        <n v="317000"/>
        <n v="459"/>
        <n v="399"/>
        <n v="853000"/>
        <n v="783000"/>
        <n v="698000"/>
        <n v="251000"/>
        <n v="302000"/>
        <n v="498000"/>
        <n v="275"/>
        <n v="2300000"/>
        <n v="1600000"/>
        <n v="1200000"/>
        <n v="997000"/>
        <n v="831000"/>
        <n v="809000"/>
        <n v="629000"/>
        <n v="506000"/>
        <n v="494000"/>
        <n v="477000"/>
        <n v="440000"/>
        <n v="438000"/>
        <n v="420000"/>
        <n v="320000"/>
        <n v="300000"/>
        <n v="253000"/>
        <n v="3000000"/>
        <n v="303000"/>
        <n v="379000"/>
        <n v="899"/>
        <n v="845"/>
        <n v="809"/>
        <n v="807"/>
        <n v="788"/>
        <n v="748"/>
        <n v="711"/>
        <n v="471"/>
        <n v="904"/>
        <n v="903000"/>
        <n v="610000"/>
        <n v="452000"/>
        <n v="422000"/>
        <n v="410000"/>
        <n v="381000"/>
        <n v="282000"/>
        <n v="256000"/>
        <n v="210000"/>
        <n v="202000"/>
        <n v="993000"/>
        <n v="371000"/>
        <n v="995"/>
        <n v="905"/>
        <n v="885"/>
        <n v="881"/>
        <n v="844"/>
        <n v="808"/>
        <n v="792"/>
        <n v="785"/>
        <n v="522"/>
        <n v="265000"/>
        <n v="963000"/>
        <n v="883000"/>
        <n v="671000"/>
        <n v="606000"/>
        <n v="560000"/>
        <n v="507000"/>
        <n v="464000"/>
        <n v="447000"/>
        <n v="115000"/>
        <n v="596"/>
        <n v="474000"/>
        <n v="926"/>
        <n v="780"/>
        <n v="717"/>
        <n v="670"/>
        <n v="337"/>
        <n v="158000"/>
        <n v="969000"/>
        <n v="632000"/>
        <n v="569000"/>
        <n v="527000"/>
        <n v="388000"/>
        <n v="240000"/>
        <n v="608000"/>
        <n v="941"/>
        <n v="390"/>
        <n v="7300"/>
        <n v="507"/>
      </sharedItems>
    </cacheField>
    <cacheField name="Rating/Score" numFmtId="0">
      <sharedItems containsSemiMixedTypes="0" containsString="0" containsNumber="1" minValue="4.67" maxValue="9.27" count="283">
        <n v="8.9600000000000009"/>
        <n v="8.67"/>
        <n v="8.2100000000000009"/>
        <n v="8.19"/>
        <n v="8.73"/>
        <n v="8.14"/>
        <n v="8.39"/>
        <n v="6.65"/>
        <n v="7.44"/>
        <n v="7.2"/>
        <n v="7.38"/>
        <n v="6.23"/>
        <n v="7.27"/>
        <n v="7.49"/>
        <n v="6.66"/>
        <n v="6.79"/>
        <n v="6.57"/>
        <n v="7.19"/>
        <n v="8.41"/>
        <n v="7.1"/>
        <n v="7.62"/>
        <n v="7.18"/>
        <n v="6.18"/>
        <n v="6.06"/>
        <n v="7.03"/>
        <n v="7.36"/>
        <n v="6.92"/>
        <n v="8.4700000000000006"/>
        <n v="6.58"/>
        <n v="6.8"/>
        <n v="6.96"/>
        <n v="7.81"/>
        <n v="6.59"/>
        <n v="6.52"/>
        <n v="6.27"/>
        <n v="6.76"/>
        <n v="6.21"/>
        <n v="4.67"/>
        <n v="5.68"/>
        <n v="7.55"/>
        <n v="5.7"/>
        <n v="5.76"/>
        <n v="5.63"/>
        <n v="6.31"/>
        <n v="8.18"/>
        <n v="7.47"/>
        <n v="7.43"/>
        <n v="7.82"/>
        <n v="7.87"/>
        <n v="7.52"/>
        <n v="6.16"/>
        <n v="6.38"/>
        <n v="7.46"/>
        <n v="6.42"/>
        <n v="7.31"/>
        <n v="5.59"/>
        <n v="9.18"/>
        <n v="8.5"/>
        <n v="8.52"/>
        <n v="7.51"/>
        <n v="8.2899999999999991"/>
        <n v="7.84"/>
        <n v="8.49"/>
        <n v="8.06"/>
        <n v="8.36"/>
        <n v="7.4"/>
        <n v="6.9"/>
        <n v="6.91"/>
        <n v="7.94"/>
        <n v="7.42"/>
        <n v="7.35"/>
        <n v="6.88"/>
        <n v="6.32"/>
        <n v="6.69"/>
        <n v="7.08"/>
        <n v="8.07"/>
        <n v="7.75"/>
        <n v="6.85"/>
        <n v="6.5"/>
        <n v="8.23"/>
        <n v="8.2200000000000006"/>
        <n v="8.32"/>
        <n v="7.99"/>
        <n v="7.63"/>
        <n v="7.29"/>
        <n v="6.43"/>
        <n v="7.13"/>
        <n v="8.34"/>
        <n v="8.5500000000000007"/>
        <n v="7.59"/>
        <n v="8.91"/>
        <n v="8.25"/>
        <n v="7.89"/>
        <n v="7.57"/>
        <n v="6.74"/>
        <n v="6.64"/>
        <n v="7.5"/>
        <n v="6.33"/>
        <n v="7.17"/>
        <n v="6.55"/>
        <n v="6.61"/>
        <n v="5.77"/>
        <n v="6.34"/>
        <n v="7.14"/>
        <n v="8.3800000000000008"/>
        <n v="6.09"/>
        <n v="6.77"/>
        <n v="7.16"/>
        <n v="5.96"/>
        <n v="7.39"/>
        <n v="5.4"/>
        <n v="8.43"/>
        <n v="8.16"/>
        <n v="8.7200000000000006"/>
        <n v="8.26"/>
        <n v="7.02"/>
        <n v="7.54"/>
        <n v="6.2"/>
        <n v="6.6"/>
        <n v="5.9"/>
        <n v="7.12"/>
        <n v="6.54"/>
        <n v="6.99"/>
        <n v="6.81"/>
        <n v="5.81"/>
        <n v="6.45"/>
        <n v="5.86"/>
        <n v="7.61"/>
        <n v="6.47"/>
        <n v="6.11"/>
        <n v="8.5299999999999994"/>
        <n v="7.79"/>
        <n v="8.02"/>
        <n v="7.91"/>
        <n v="8.11"/>
        <n v="8.17"/>
        <n v="7.06"/>
        <n v="6.62"/>
        <n v="6.17"/>
        <n v="6.12"/>
        <n v="6.71"/>
        <n v="7.37"/>
        <n v="5.67"/>
        <n v="8.76"/>
        <n v="8.68"/>
        <n v="8.61"/>
        <n v="6.04"/>
        <n v="5.84"/>
        <n v="6.95"/>
        <n v="5.98"/>
        <n v="6.35"/>
        <n v="9.09"/>
        <n v="8.35"/>
        <n v="6.82"/>
        <n v="6.39"/>
        <n v="7.71"/>
        <n v="6.83"/>
        <n v="6.7"/>
        <n v="7.05"/>
        <n v="8.58"/>
        <n v="7.25"/>
        <n v="7.48"/>
        <n v="8.0299999999999994"/>
        <n v="7.6"/>
        <n v="7.11"/>
        <n v="6.75"/>
        <n v="5.89"/>
        <n v="7.41"/>
        <n v="4.75"/>
        <n v="7.68"/>
        <n v="6.56"/>
        <n v="7.45"/>
        <n v="5.85"/>
        <n v="7.32"/>
        <n v="6.84"/>
        <n v="6.24"/>
        <n v="6.36"/>
        <n v="6.07"/>
        <n v="8.59"/>
        <n v="7.93"/>
        <n v="7.78"/>
        <n v="8.1999999999999993"/>
        <n v="7.53"/>
        <n v="8.6999999999999993"/>
        <n v="6.87"/>
        <n v="6.3"/>
        <n v="9.27"/>
        <n v="8.85"/>
        <n v="8.1"/>
        <n v="7.74"/>
        <n v="7.97"/>
        <n v="5.92"/>
        <n v="6.51"/>
        <n v="5.97"/>
        <n v="8.08"/>
        <n v="8.1300000000000008"/>
        <n v="7.7"/>
        <n v="8.1199999999999992"/>
        <n v="7.83"/>
        <n v="7.24"/>
        <n v="6.67"/>
        <n v="6.48"/>
        <n v="5.58"/>
        <n v="7.15"/>
        <n v="6.72"/>
        <n v="5.78"/>
        <n v="6.08"/>
        <n v="8.6199999999999992"/>
        <n v="6.02"/>
        <n v="8.42"/>
        <n v="7.98"/>
        <n v="7.07"/>
        <n v="6.22"/>
        <n v="7.21"/>
        <n v="6.05"/>
        <n v="8.82"/>
        <n v="7.86"/>
        <n v="7.56"/>
        <n v="7.64"/>
        <n v="7.22"/>
        <n v="7.85"/>
        <n v="6.46"/>
        <n v="5.6"/>
        <n v="5.88"/>
        <n v="7.23"/>
        <n v="6.94"/>
        <n v="6.68"/>
        <n v="7.77"/>
        <n v="6.15"/>
        <n v="5.8"/>
        <n v="8.5399999999999991"/>
        <n v="8.09"/>
        <n v="8.15"/>
        <n v="5.71"/>
        <n v="5.79"/>
        <n v="6.37"/>
        <n v="5.75"/>
        <n v="5.31"/>
        <n v="8.3000000000000007"/>
        <n v="8.44"/>
        <n v="7.09"/>
        <n v="5.73"/>
        <n v="6.98"/>
        <n v="6.29"/>
        <n v="8.77"/>
        <n v="7.65"/>
        <n v="8.3699999999999992"/>
        <n v="8.48"/>
        <n v="5.44"/>
        <n v="5.74"/>
        <n v="5.48"/>
        <n v="6.28"/>
        <n v="5.53"/>
        <n v="8.0500000000000007"/>
        <n v="8.6"/>
        <n v="7.26"/>
        <n v="8.0399999999999991"/>
        <n v="6.53"/>
        <n v="7"/>
        <n v="7.73"/>
        <n v="6.13"/>
        <n v="5.99"/>
        <n v="5.49"/>
        <n v="8.98"/>
        <n v="8.51"/>
        <n v="8.24"/>
        <n v="8.7899999999999991"/>
        <n v="5.24"/>
        <n v="8"/>
        <n v="5.29"/>
        <n v="5.65"/>
        <n v="5.87"/>
        <n v="5.41"/>
        <n v="7.58"/>
        <n v="6.01"/>
        <n v="5.69"/>
        <n v="8.94"/>
        <n v="8.6300000000000008"/>
        <n v="6.89"/>
        <n v="5.52"/>
        <n v="5.95"/>
        <n v="6.14"/>
        <n v="5.16"/>
      </sharedItems>
    </cacheField>
    <cacheField name="Genres" numFmtId="0">
      <sharedItems count="22">
        <s v="Adventure"/>
        <s v="Action"/>
        <s v="Drama"/>
        <s v="Comedy"/>
        <s v="Romance"/>
        <s v="Fantasy"/>
        <s v="Mystery"/>
        <s v="Boys Love"/>
        <s v="Sci-Fi"/>
        <s v="Slice of Life"/>
        <s v="Historical"/>
        <s v="Avant Garde"/>
        <s v="Horror"/>
        <s v="Music"/>
        <s v="Racing"/>
        <s v="Experimental"/>
        <s v="Idols (Female)"/>
        <s v="Sports"/>
        <s v="Award Winning"/>
        <s v="Suspense"/>
        <s v="Supernatural"/>
        <s v="Gourmet"/>
      </sharedItems>
    </cacheField>
    <cacheField name="Studios" numFmtId="0">
      <sharedItems count="264">
        <s v="Madhouse"/>
        <s v="MAPPA"/>
        <s v="Studio KAI"/>
        <s v="Doga Kobo"/>
        <s v="David Production"/>
        <s v="A-1 Pictures"/>
        <s v="animation studio42"/>
        <s v="Hayabusa Film, Passione"/>
        <s v="Studio Deen"/>
        <s v="Bones Film"/>
        <s v="Gekkou"/>
        <s v="Atelier Peuplier, East Fish Studio"/>
        <s v="CompTown"/>
        <s v="Orange"/>
        <s v="NAZ"/>
        <s v="Platinum Vision"/>
        <s v="Yokohama Animation Lab"/>
        <s v="Brain's Base"/>
        <s v="Ashi Productions"/>
        <s v="Project No.9"/>
        <s v="A.C.G.T."/>
        <s v="Bellnox Films"/>
        <s v="EMT Squared"/>
        <s v="Okuruto Noboru"/>
        <s v="ENGI"/>
        <s v="HORNETS"/>
        <s v="Qzil.la, Typhoon Graphics"/>
        <s v="Signal.MD"/>
        <s v="Felix Film"/>
        <s v="OLM"/>
        <s v="asread."/>
        <s v="SILVER LINK."/>
        <s v="Diomedéa"/>
        <s v="Typhoon Graphics"/>
        <s v="Maho Film"/>
        <s v="Sunrise"/>
        <s v="SynergySP"/>
        <s v="Imageworks Studio, Imagica Infos"/>
        <s v="Toei Animation"/>
        <s v="Seven"/>
        <s v="ILCA"/>
        <s v="Doraku"/>
        <s v="Gift-o’-Animation, Kinema Citrus, Studio Jemi"/>
        <s v="TMS Entertainment"/>
        <s v="Drive, Studio Massket"/>
        <s v="feel."/>
        <s v="LIDENFILMS"/>
        <s v="domerica"/>
        <s v="Nippon Animation"/>
        <s v="Eiken"/>
        <s v="Studio VOLN"/>
        <s v="studio maf"/>
        <s v="Lesprit"/>
        <s v="Studio Chromato, Studio Colorido"/>
        <s v="Wit Studio"/>
        <s v="Sparkly Key Animation Studio"/>
        <s v="Foch Film"/>
        <s v="Motion Magic"/>
        <s v="Red Dog Culture House"/>
        <s v="Konami animation"/>
        <s v="Suoyi Technology"/>
        <s v="Paper Plane Animation Studio"/>
        <s v="UKA"/>
        <s v="Flying Fish Studio, Yien Animation Studio"/>
        <s v="Cloud Art"/>
        <s v="Wonder Cat Animation, Yien Animation Studio"/>
        <s v="Honglu Technology"/>
        <s v="Qingxiang Culture"/>
        <s v="ROLL2"/>
        <s v="Studio 4°C"/>
        <s v="Studio Outrigger"/>
        <s v="Shin-Ei Animation"/>
        <s v="studio MOTHER"/>
        <s v="Khara"/>
        <s v="P.A. Works"/>
        <s v="Actas"/>
        <s v="8bit"/>
        <s v="Bandai Namco Pictures"/>
        <s v="Studio Flad"/>
        <s v="TROYCA"/>
        <s v="OLM, TOHO animation STUDIO"/>
        <s v="Bibury Animation Studios"/>
        <s v="AXsiZ, Studio Gokumi"/>
        <s v="Kinema Citrus"/>
        <s v="CloverWorks"/>
        <s v="Blade"/>
        <s v="J.C.Staff"/>
        <s v="Studio Comet"/>
        <s v="CompTown, Geek Toys"/>
        <s v="Asahi Production"/>
        <s v="East Fish Studio"/>
        <s v="Marvy Jack, Studio Deen"/>
        <s v="Millepensee"/>
        <s v="Satelight"/>
        <s v="GoHands"/>
        <s v="Studio Deen, Toei Animation"/>
        <s v="White Fox"/>
        <s v="Telecom Animation Film"/>
        <s v="C2C"/>
        <s v="SILVER LINK., Studio Palette"/>
        <s v="Drive"/>
        <s v="Bridge"/>
        <s v="Big Firebird Culture"/>
        <s v="G-angle"/>
        <s v="monofilmo"/>
        <s v="AQUA ARIS"/>
        <s v="LX Animation Studio"/>
        <s v="HM Heros"/>
        <s v="Wonder Cat Animation"/>
        <s v="Original Force, Wonder Cat Animation"/>
        <s v="CG Year"/>
        <s v="Ruo Hong Culture"/>
        <s v="Tang Kirin Culture"/>
        <s v="Studio DURIAN"/>
        <s v="Khara, Sunrise"/>
        <s v="A-1 Pictures, TROYCA"/>
        <s v="DLE"/>
        <s v="Science SARU"/>
        <s v="Production I.G"/>
        <s v="CygamesPictures"/>
        <s v="Studio Gokumi"/>
        <s v="Liber, Zero-G"/>
        <s v="Typhoon Graphics, WonderLand"/>
        <s v="Lay-duce"/>
        <s v="Tsumugi Akita Animation Lab"/>
        <s v="Sotsu, Studio Clutch"/>
        <s v="Staple Entertainment"/>
        <s v="LandQ studios"/>
        <s v="Enishiya"/>
        <s v="B.COOL STUDIO, LAN Studio, Paper Plane Animation Studio, Pb Animation"/>
        <s v="B.CMAY PICTURES"/>
        <s v="LAN Studio, Pb Animation, Sunflowers"/>
        <s v="ufotable"/>
        <s v="Rock'n Roll Mountain"/>
        <s v="Fenz, Shanghai Animation Film Studio"/>
        <s v="PRA"/>
        <s v="Studio A-CAT"/>
        <s v="Makaria"/>
        <s v="Teddy"/>
        <s v="Shaft"/>
        <s v="Panda Tower Studio, Space Neko Company"/>
        <s v="D.ROCK-ART"/>
        <s v="Studio Moriken"/>
        <s v="Original Force"/>
        <s v="Pie in the sky"/>
        <s v="CloverWorks, Wit Studio"/>
        <s v="WAO World"/>
        <s v="Studio Lings"/>
        <s v="Yumeta Company"/>
        <s v="BYMENT"/>
        <s v="Xing Yi Kai Chen"/>
        <s v="Trigger"/>
        <s v="Lerche"/>
        <s v="Ajia-do"/>
        <s v="Shin-Ei Animation, Studio Add"/>
        <s v="Seven Arcs"/>
        <s v="HORNETS, Studio KAI"/>
        <s v="Blade, SILVER LINK."/>
        <s v="Jumondou"/>
        <s v="Studio Massket"/>
        <s v="Passione"/>
        <s v="Bones"/>
        <s v="Shin-Ei Animation, SynergySP"/>
        <s v="Studio Hibari"/>
        <s v="Opera House"/>
        <s v="Fugaku"/>
        <s v="Gear Studio"/>
        <s v="Studio GOONEYS"/>
        <s v="Hololive Production"/>
        <s v="DandeLion Animation Studio, Toei Animation"/>
        <s v="Shirogumi"/>
        <s v="The Answer Studio"/>
        <s v="Atelier Pontdarc"/>
        <s v="Nomad"/>
        <s v="Marza Animation Planet"/>
        <s v="Fenz"/>
        <s v="Sunflowers"/>
        <s v="Oriental Creative Color"/>
        <s v="Borutong"/>
        <s v="Nice Boat Animation"/>
        <s v="ARCUS"/>
        <s v="Guton Animation Studio"/>
        <s v="Studio Bind"/>
        <s v="Lesprit, Shin-Ei Animation"/>
        <s v="Wulifang, Year Young Culture"/>
        <s v="Wawayu Animation"/>
        <s v="Fanworks"/>
        <s v="Gravity Well"/>
        <s v="TOHO animation STUDIO"/>
        <s v="Zexcs"/>
        <s v="Pierrot Films"/>
        <s v="Akatsuki, Fugaku"/>
        <s v="Zero-G"/>
        <s v="Unend"/>
        <s v="Shuiniu Dongman"/>
        <s v="Tianshi Wenhua"/>
        <s v="PINE JAM"/>
        <s v="Studio Pierrot"/>
        <s v="Nexus"/>
        <s v="Rocen"/>
        <s v="Noovo, pH Studio"/>
        <s v="Studio Elle"/>
        <s v="Echoes"/>
        <s v="BUG FILMS"/>
        <s v="Lapin Track"/>
        <s v="Studio 3Hz"/>
        <s v="LAN Studio"/>
        <s v="Cloud Culture"/>
        <s v="Qzil.la, S.o.K"/>
        <s v="Studio PuYUKAI"/>
        <s v="Shykeumo Animation Studio"/>
        <s v="Yi Chen Animation"/>
        <s v="Yostar Pictures"/>
        <s v="Studio Kafka"/>
        <s v="Tezuka Productions"/>
        <s v="OLM, Sunrise Beyond"/>
        <s v="Studio M2"/>
        <s v="Village Studio"/>
        <s v="Dancing CG Studio"/>
        <s v="ORCEN"/>
        <s v="TRCARTOON"/>
        <s v="asread., studio MOTHER"/>
        <s v="OZ"/>
        <s v="Production +h."/>
        <s v="AION Studio"/>
        <s v="Imagica Digitalscape"/>
        <s v="Infinity Animations"/>
        <s v="asurafilm"/>
        <s v="feel., Gaina"/>
        <s v="Revoroot"/>
        <s v="Aurora Animation"/>
        <s v="Studio Daisy"/>
        <s v="CHOCOLATE, YURUPPE Inc."/>
        <s v="CLAP"/>
        <s v="DR Movie, Kinema Citrus"/>
        <s v="Geek Toys"/>
        <s v="Gravity Well, Windy Studio"/>
        <s v="CoMix Wave Films"/>
        <s v="Yamiken"/>
        <s v="C-Station"/>
        <s v="IMAGICA Lab."/>
        <s v="Jichitai Anime"/>
        <s v="Gathering"/>
        <s v="Flat Studio"/>
        <s v="Kyoto Animation"/>
        <s v="Shuka"/>
        <s v="717 Animation Studio"/>
        <s v="Sharefun Studio"/>
        <s v="SJYNEXCUS"/>
        <s v="Gambit"/>
        <s v="Tong Mingxuan Studio"/>
        <s v="Volca"/>
        <s v="Signal.MD, Sublimation"/>
        <s v="OLM, P.I.C.S."/>
        <s v="Okuruto Noboru, Tezuka Productions"/>
        <s v="FIREBUG"/>
        <s v="VCRWORKS"/>
        <s v="Madhouse, MAPPA"/>
        <s v="Studio Flad, Wolfsbane"/>
        <s v="Hotline"/>
        <s v="Chosen"/>
        <s v="Wolf Smoke Studio"/>
        <s v="Production I.G, Sola Digital Arts"/>
        <s v="Tecarat"/>
      </sharedItems>
    </cacheField>
    <cacheField name="Year" numFmtId="0">
      <sharedItems containsSemiMixedTypes="0" containsString="0" containsNumber="1" containsInteger="1" minValue="2021" maxValue="2026" count="6">
        <n v="2026"/>
        <n v="2025"/>
        <n v="2024"/>
        <n v="2023"/>
        <n v="2022"/>
        <n v="2021"/>
      </sharedItems>
    </cacheField>
    <cacheField name="Season" numFmtId="0">
      <sharedItems count="4">
        <s v="Winter"/>
        <s v="Spring"/>
        <s v="Summer"/>
        <s v="Fall"/>
      </sharedItems>
    </cacheField>
  </cacheFields>
  <extLst>
    <ext xmlns:x14="http://schemas.microsoft.com/office/spreadsheetml/2009/9/main" uri="{725AE2AE-9491-48be-B2B4-4EB974FC3084}">
      <x14:pivotCacheDefinition pivotCacheId="4506535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eta" refreshedDate="46124.931461342596" createdVersion="8" refreshedVersion="8" minRefreshableVersion="3" recordCount="441" xr:uid="{6FECD2E7-C607-42D6-9E46-85154237874B}">
  <cacheSource type="worksheet">
    <worksheetSource name="Table1_3" r:id="rId2"/>
  </cacheSource>
  <cacheFields count="8">
    <cacheField name="Anime Title" numFmtId="0">
      <sharedItems count="141">
        <s v="Frieren: Beyond Journey"/>
        <s v="Attack on Titan Final"/>
        <s v="Jujutsu Kaisen Final"/>
        <s v="Vinland Saga S4"/>
        <s v="Jujutsu Kaisen S3"/>
        <s v="Bleach Epilogue Arc"/>
        <s v="Frieren S3"/>
        <s v="Apothecary Diaries S3"/>
        <s v="Haikyu!! Movie"/>
        <s v="Bleach TYBW Final"/>
        <s v="Apothecary Diaries S2"/>
        <s v="Demon Slayer: Infinity"/>
        <s v="Vinland Saga S3"/>
        <s v="Demon Slayer S5"/>
        <s v="Vinland Saga S3 (Prime)"/>
        <s v="Haikyu!! Final"/>
        <s v="One Piece Egghead Arc"/>
        <s v="Frieren S2"/>
        <s v="Bleach TYBW"/>
        <s v="Solo Leveling S3"/>
        <s v="Vinland Saga S2 (Prime)"/>
        <s v="Bleach TYBW (Hulu)"/>
        <s v="One Piece Post-Egghead"/>
        <s v="Jujutsu Kaisen S2"/>
        <s v="Vinland Saga S2"/>
        <s v="Oshi no Ko (Prime)"/>
        <s v="One Piece (Hulu)"/>
        <s v="Blue Eye Samurai"/>
        <s v="Dandadan S2"/>
        <s v="Oshi no Ko S3"/>
        <s v="Kaguya-sama S3"/>
        <s v="Bocchi the Rock"/>
        <s v="Apothecary Diaries"/>
        <s v="Oshi no Ko S1"/>
        <s v="Demon Slayer: Hashira"/>
        <s v="Dungeon Meshi"/>
        <s v="Vinland Saga S1 (Prime)"/>
        <s v="Ranking of Kings"/>
        <s v="Oshi no Ko S2"/>
        <s v="Odd Taxi"/>
        <s v="Made in Abyss S2"/>
        <s v="Orb: Movements of Earth"/>
        <s v="Re:Zero S3"/>
        <s v="Cyberpunk: Edgerunners"/>
        <s v="JJK: Shimetsu Arc"/>
        <s v="Jujutsu Kaisen S1"/>
        <s v="Chainsaw Man"/>
        <s v="Summertime Rendering"/>
        <s v="Solo Leveling S2"/>
        <s v="SK8 the Infinity"/>
        <s v="One Punch Man S3"/>
        <s v="Sakamoto Days"/>
        <s v="Dandadan"/>
        <s v="Sakamoto Days S2"/>
        <s v="Skip and Loafer"/>
        <s v="Mushoku Tensei S2 P2"/>
        <s v="Konosuba S3"/>
        <s v="One Piece (Live)"/>
        <s v="Mushoku Tensei S1"/>
        <s v="Hell's Paradise"/>
        <s v="Solo Leveling"/>
        <s v="Shadows House S2"/>
        <s v="My Hero Academia Final"/>
        <s v="Pluto"/>
        <s v="86 Eighty-Six"/>
        <s v="To Your Eternity"/>
        <s v="Spy x Family"/>
        <s v="Lycoris Recoil"/>
        <s v="Blue Lock S2"/>
        <s v="Blue Box"/>
        <s v="Fruits Basket Final"/>
        <s v="Undead Unluck"/>
        <s v="My Hero Academia S7"/>
        <s v="Kotaro Lives Alone"/>
        <s v="Jobless Reincarnation"/>
        <s v="Dr Stone S3"/>
        <s v="Shangri-La Frontier"/>
        <s v="Dororo Remastered"/>
        <s v="Zombieland Saga Revenge"/>
        <s v="Heavenly Delusion"/>
        <s v="Gundam GQuuuuuuX S2"/>
        <s v="Dragon Ball Super S4"/>
        <s v="My Happy Marriage S2"/>
        <s v="Ranma 1/2 (2025)"/>
        <s v="Slime Season 2"/>
        <s v="Horimiya"/>
        <s v="My Hero Academia S6"/>
        <s v="Trigun Stampede"/>
        <s v="Kaiju No.8"/>
        <s v="Spy x Family (Prime)"/>
        <s v="Mashle Magic &amp; Muscles"/>
        <s v="Dragon Ball Super Broly Hulu"/>
        <s v="Rurouni Kenshin 2023"/>
        <s v="Black Clover Movie"/>
        <s v="Dragon Ball Super S3"/>
        <s v="Kengan Ashura S2"/>
        <s v="Overlord IV"/>
        <s v="Gundam GQuuuuuuX"/>
        <s v="Scott Pilgrim Anime"/>
        <s v="Wonder Egg Priority"/>
        <s v="Yuzuki-san Couple"/>
        <s v="Lazarus"/>
        <s v="Overlord IV (Hulu)"/>
        <s v="Dragon Ball Daima"/>
        <s v="Beastars S3"/>
        <s v="Birdie Wing"/>
        <s v="Uncle from Another World"/>
        <s v="Dragon Ball Super S2"/>
        <s v="Baki Hanma"/>
        <s v="Dragon Quest Dai"/>
        <s v="Digimon Adventure 2020"/>
        <s v="My Hero Academia S5"/>
        <s v="Fairy Tail 100YQ S2"/>
        <s v="Tokyo Revengers S3"/>
        <s v="The Way of the Househusband"/>
        <s v="Terminator Zero"/>
        <s v="Trapped in Dating Sim"/>
        <s v="Panty &amp; Stocking 2025"/>
        <s v="City The Animation"/>
        <s v="Black Clover S4"/>
        <s v="Fairy Tail 100 Year Quest"/>
        <s v="Shaman King (2021)"/>
        <s v="Record of Ragnarok II"/>
        <s v="Sword Art Online Prog."/>
        <s v="Record of Ragnarok"/>
        <s v="Bucchigiri"/>
        <s v="Spriggan"/>
        <s v="Trese"/>
        <s v="Cat's Eye (2024)"/>
        <s v="Sanda"/>
        <s v="Yasuke"/>
        <s v="The Marginal Service"/>
        <s v="Super Crooks"/>
        <s v="Thermae Romae Novae"/>
        <s v="Blade Runner Black Lotus"/>
        <s v="Pacific Rim Black S2"/>
        <s v="exception."/>
        <s v="Bastard!! Heavy Metal"/>
        <s v="Bastard!! Darkness"/>
        <s v="Eden"/>
        <s v="The Promised Neverland S2"/>
      </sharedItems>
    </cacheField>
    <cacheField name="Genre" numFmtId="0">
      <sharedItems count="11">
        <s v="Fantasy"/>
        <s v="Action"/>
        <s v="Historical"/>
        <s v="Mystery"/>
        <s v="Sports"/>
        <s v="Adventure"/>
        <s v="Drama"/>
        <s v="Sci-Fi"/>
        <s v="Romance"/>
        <s v="Comedy"/>
        <s v="Thriller"/>
      </sharedItems>
    </cacheField>
    <cacheField name="Platform" numFmtId="0">
      <sharedItems count="4">
        <s v="Crunchyroll"/>
        <s v="Amazon Prime"/>
        <s v="Hulu"/>
        <s v="Netflix"/>
      </sharedItems>
    </cacheField>
    <cacheField name="Date.3.1" numFmtId="0">
      <sharedItems containsSemiMixedTypes="0" containsString="0" containsNumber="1" containsInteger="1" minValue="2021" maxValue="2026" count="6">
        <n v="2023"/>
        <n v="2026"/>
        <n v="2025"/>
        <n v="2024"/>
        <n v="2021"/>
        <n v="2022"/>
      </sharedItems>
    </cacheField>
    <cacheField name="Viewer Rating (/ 10)" numFmtId="0">
      <sharedItems containsSemiMixedTypes="0" containsString="0" containsNumber="1" minValue="5.4" maxValue="9.5"/>
    </cacheField>
    <cacheField name="Monthly Viewership (M)" numFmtId="0">
      <sharedItems containsSemiMixedTypes="0" containsString="0" containsNumber="1" minValue="3.1" maxValue="35.700000000000003"/>
    </cacheField>
    <cacheField name="Region" numFmtId="0">
      <sharedItems count="4">
        <s v="Global"/>
        <s v="Japan"/>
        <s v="US"/>
        <s v="India"/>
      </sharedItems>
    </cacheField>
    <cacheField name="Popularity Rank" numFmtId="0">
      <sharedItems containsSemiMixedTypes="0" containsString="0" containsNumber="1" containsInteger="1" minValue="1" maxValue="443"/>
    </cacheField>
  </cacheFields>
  <extLst>
    <ext xmlns:x14="http://schemas.microsoft.com/office/spreadsheetml/2009/9/main" uri="{725AE2AE-9491-48be-B2B4-4EB974FC3084}">
      <x14:pivotCacheDefinition pivotCacheId="169682747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eta" refreshedDate="46125.032391319444" createdVersion="8" refreshedVersion="8" minRefreshableVersion="3" recordCount="441" xr:uid="{FED7CBD4-A775-4CFF-AAF0-7A50152C4554}">
  <cacheSource type="worksheet">
    <worksheetSource name="Table1_3"/>
  </cacheSource>
  <cacheFields count="8">
    <cacheField name="Anime Title" numFmtId="0">
      <sharedItems count="141">
        <s v="Frieren: Beyond Journey"/>
        <s v="Attack on Titan Final"/>
        <s v="Jujutsu Kaisen Final"/>
        <s v="Vinland Saga S4"/>
        <s v="Jujutsu Kaisen S3"/>
        <s v="Bleach Epilogue Arc"/>
        <s v="Frieren S3"/>
        <s v="Apothecary Diaries S3"/>
        <s v="Haikyu!! Movie"/>
        <s v="Bleach TYBW Final"/>
        <s v="Apothecary Diaries S2"/>
        <s v="Demon Slayer: Infinity"/>
        <s v="Vinland Saga S3"/>
        <s v="Demon Slayer S5"/>
        <s v="Vinland Saga S3 (Prime)"/>
        <s v="Haikyu!! Final"/>
        <s v="One Piece Egghead Arc"/>
        <s v="Frieren S2"/>
        <s v="Bleach TYBW"/>
        <s v="Solo Leveling S3"/>
        <s v="Vinland Saga S2 (Prime)"/>
        <s v="Bleach TYBW (Hulu)"/>
        <s v="One Piece Post-Egghead"/>
        <s v="Jujutsu Kaisen S2"/>
        <s v="Vinland Saga S2"/>
        <s v="Oshi no Ko (Prime)"/>
        <s v="One Piece (Hulu)"/>
        <s v="Blue Eye Samurai"/>
        <s v="Dandadan S2"/>
        <s v="Oshi no Ko S3"/>
        <s v="Kaguya-sama S3"/>
        <s v="Bocchi the Rock"/>
        <s v="Apothecary Diaries"/>
        <s v="Oshi no Ko S1"/>
        <s v="Demon Slayer: Hashira"/>
        <s v="Dungeon Meshi"/>
        <s v="Vinland Saga S1 (Prime)"/>
        <s v="Ranking of Kings"/>
        <s v="Oshi no Ko S2"/>
        <s v="Odd Taxi"/>
        <s v="Made in Abyss S2"/>
        <s v="Orb: Movements of Earth"/>
        <s v="Re:Zero S3"/>
        <s v="Cyberpunk: Edgerunners"/>
        <s v="JJK: Shimetsu Arc"/>
        <s v="Jujutsu Kaisen S1"/>
        <s v="Chainsaw Man"/>
        <s v="Summertime Rendering"/>
        <s v="Solo Leveling S2"/>
        <s v="SK8 the Infinity"/>
        <s v="One Punch Man S3"/>
        <s v="Sakamoto Days"/>
        <s v="Dandadan"/>
        <s v="Sakamoto Days S2"/>
        <s v="Skip and Loafer"/>
        <s v="Mushoku Tensei S2 P2"/>
        <s v="Konosuba S3"/>
        <s v="One Piece (Live)"/>
        <s v="Mushoku Tensei S1"/>
        <s v="Hell's Paradise"/>
        <s v="Solo Leveling"/>
        <s v="Shadows House S2"/>
        <s v="My Hero Academia Final"/>
        <s v="Pluto"/>
        <s v="86 Eighty-Six"/>
        <s v="To Your Eternity"/>
        <s v="Spy x Family"/>
        <s v="Lycoris Recoil"/>
        <s v="Blue Lock S2"/>
        <s v="Blue Box"/>
        <s v="Fruits Basket Final"/>
        <s v="Undead Unluck"/>
        <s v="My Hero Academia S7"/>
        <s v="Kotaro Lives Alone"/>
        <s v="Jobless Reincarnation"/>
        <s v="Dr Stone S3"/>
        <s v="Shangri-La Frontier"/>
        <s v="Dororo Remastered"/>
        <s v="Zombieland Saga Revenge"/>
        <s v="Heavenly Delusion"/>
        <s v="Gundam GQuuuuuuX S2"/>
        <s v="Dragon Ball Super S4"/>
        <s v="My Happy Marriage S2"/>
        <s v="Ranma 1/2 (2025)"/>
        <s v="Slime Season 2"/>
        <s v="Horimiya"/>
        <s v="My Hero Academia S6"/>
        <s v="Trigun Stampede"/>
        <s v="Kaiju No.8"/>
        <s v="Spy x Family (Prime)"/>
        <s v="Mashle Magic &amp; Muscles"/>
        <s v="Dragon Ball Super Broly Hulu"/>
        <s v="Rurouni Kenshin 2023"/>
        <s v="Black Clover Movie"/>
        <s v="Dragon Ball Super S3"/>
        <s v="Kengan Ashura S2"/>
        <s v="Overlord IV"/>
        <s v="Gundam GQuuuuuuX"/>
        <s v="Scott Pilgrim Anime"/>
        <s v="Wonder Egg Priority"/>
        <s v="Yuzuki-san Couple"/>
        <s v="Lazarus"/>
        <s v="Overlord IV (Hulu)"/>
        <s v="Dragon Ball Daima"/>
        <s v="Beastars S3"/>
        <s v="Birdie Wing"/>
        <s v="Uncle from Another World"/>
        <s v="Dragon Ball Super S2"/>
        <s v="Baki Hanma"/>
        <s v="Dragon Quest Dai"/>
        <s v="Digimon Adventure 2020"/>
        <s v="My Hero Academia S5"/>
        <s v="Fairy Tail 100YQ S2"/>
        <s v="Tokyo Revengers S3"/>
        <s v="The Way of the Househusband"/>
        <s v="Terminator Zero"/>
        <s v="Trapped in Dating Sim"/>
        <s v="Panty &amp; Stocking 2025"/>
        <s v="City The Animation"/>
        <s v="Black Clover S4"/>
        <s v="Fairy Tail 100 Year Quest"/>
        <s v="Shaman King (2021)"/>
        <s v="Record of Ragnarok II"/>
        <s v="Sword Art Online Prog."/>
        <s v="Record of Ragnarok"/>
        <s v="Bucchigiri"/>
        <s v="Spriggan"/>
        <s v="Trese"/>
        <s v="Cat's Eye (2024)"/>
        <s v="Sanda"/>
        <s v="Yasuke"/>
        <s v="The Marginal Service"/>
        <s v="Super Crooks"/>
        <s v="Thermae Romae Novae"/>
        <s v="Blade Runner Black Lotus"/>
        <s v="Pacific Rim Black S2"/>
        <s v="exception."/>
        <s v="Bastard!! Heavy Metal"/>
        <s v="Bastard!! Darkness"/>
        <s v="Eden"/>
        <s v="The Promised Neverland S2"/>
      </sharedItems>
    </cacheField>
    <cacheField name="Genre" numFmtId="0">
      <sharedItems/>
    </cacheField>
    <cacheField name="Platform" numFmtId="0">
      <sharedItems count="4">
        <s v="Crunchyroll"/>
        <s v="Amazon Prime"/>
        <s v="Hulu"/>
        <s v="Netflix"/>
      </sharedItems>
    </cacheField>
    <cacheField name="Date.3.1" numFmtId="0">
      <sharedItems containsSemiMixedTypes="0" containsString="0" containsNumber="1" containsInteger="1" minValue="2021" maxValue="2026" count="6">
        <n v="2023"/>
        <n v="2026"/>
        <n v="2025"/>
        <n v="2024"/>
        <n v="2021"/>
        <n v="2022"/>
      </sharedItems>
    </cacheField>
    <cacheField name="Viewer Rating (/ 10)" numFmtId="0">
      <sharedItems containsSemiMixedTypes="0" containsString="0" containsNumber="1" minValue="5.4" maxValue="9.5"/>
    </cacheField>
    <cacheField name="Monthly Viewership (M)" numFmtId="0">
      <sharedItems containsSemiMixedTypes="0" containsString="0" containsNumber="1" minValue="3.1" maxValue="35.700000000000003"/>
    </cacheField>
    <cacheField name="Region" numFmtId="0">
      <sharedItems count="4">
        <s v="Global"/>
        <s v="Japan"/>
        <s v="US"/>
        <s v="India"/>
      </sharedItems>
    </cacheField>
    <cacheField name="Popularity Rank" numFmtId="0">
      <sharedItems containsSemiMixedTypes="0" containsString="0" containsNumber="1" containsInteger="1" minValue="1" maxValue="443"/>
    </cacheField>
  </cacheFields>
  <extLst>
    <ext xmlns:x14="http://schemas.microsoft.com/office/spreadsheetml/2009/9/main" uri="{725AE2AE-9491-48be-B2B4-4EB974FC3084}">
      <x14:pivotCacheDefinition pivotCacheId="299402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3">
  <r>
    <x v="0"/>
    <n v="482000"/>
    <x v="0"/>
    <x v="0"/>
    <s v="Madhouse"/>
    <x v="0"/>
    <s v="Winter"/>
  </r>
  <r>
    <x v="1"/>
    <n v="441000"/>
    <x v="1"/>
    <x v="1"/>
    <s v="MAPPA"/>
    <x v="0"/>
    <s v="Winter"/>
  </r>
  <r>
    <x v="2"/>
    <n v="344000"/>
    <x v="2"/>
    <x v="2"/>
    <s v="MAPPA"/>
    <x v="0"/>
    <s v="Winter"/>
  </r>
  <r>
    <x v="3"/>
    <n v="275000"/>
    <x v="3"/>
    <x v="3"/>
    <s v="Studio KAI"/>
    <x v="0"/>
    <s v="Winter"/>
  </r>
  <r>
    <x v="4"/>
    <n v="243000"/>
    <x v="4"/>
    <x v="4"/>
    <s v="Doga Kobo"/>
    <x v="0"/>
    <s v="Winter"/>
  </r>
  <r>
    <x v="5"/>
    <n v="171000"/>
    <x v="5"/>
    <x v="5"/>
    <s v="David Production"/>
    <x v="0"/>
    <s v="Winter"/>
  </r>
  <r>
    <x v="6"/>
    <n v="157000"/>
    <x v="6"/>
    <x v="6"/>
    <s v="A-1 Pictures"/>
    <x v="0"/>
    <s v="Winter"/>
  </r>
  <r>
    <x v="7"/>
    <n v="114000"/>
    <x v="7"/>
    <x v="3"/>
    <s v="animation studio42"/>
    <x v="0"/>
    <s v="Winter"/>
  </r>
  <r>
    <x v="8"/>
    <n v="94000"/>
    <x v="8"/>
    <x v="7"/>
    <s v="Hayabusa Film, Passione"/>
    <x v="0"/>
    <s v="Winter"/>
  </r>
  <r>
    <x v="9"/>
    <n v="93000"/>
    <x v="9"/>
    <x v="8"/>
    <s v="Studio Deen"/>
    <x v="0"/>
    <s v="Winter"/>
  </r>
  <r>
    <x v="10"/>
    <n v="84000"/>
    <x v="10"/>
    <x v="9"/>
    <s v="Bones Film"/>
    <x v="0"/>
    <s v="Winter"/>
  </r>
  <r>
    <x v="11"/>
    <n v="80000"/>
    <x v="11"/>
    <x v="10"/>
    <s v="Gekkou"/>
    <x v="0"/>
    <s v="Winter"/>
  </r>
  <r>
    <x v="12"/>
    <n v="74000"/>
    <x v="12"/>
    <x v="11"/>
    <s v="Gekkou"/>
    <x v="0"/>
    <s v="Winter"/>
  </r>
  <r>
    <x v="13"/>
    <n v="73000"/>
    <x v="13"/>
    <x v="12"/>
    <s v="Atelier Peuplier, East Fish Studio"/>
    <x v="0"/>
    <s v="Winter"/>
  </r>
  <r>
    <x v="14"/>
    <n v="71000"/>
    <x v="14"/>
    <x v="13"/>
    <s v="CompTown"/>
    <x v="0"/>
    <s v="Winter"/>
  </r>
  <r>
    <x v="15"/>
    <n v="70000"/>
    <x v="15"/>
    <x v="14"/>
    <s v="Orange"/>
    <x v="0"/>
    <s v="Winter"/>
  </r>
  <r>
    <x v="16"/>
    <n v="68000"/>
    <x v="15"/>
    <x v="15"/>
    <s v="NAZ"/>
    <x v="0"/>
    <s v="Winter"/>
  </r>
  <r>
    <x v="17"/>
    <n v="65000"/>
    <x v="16"/>
    <x v="16"/>
    <s v="Platinum Vision"/>
    <x v="0"/>
    <s v="Winter"/>
  </r>
  <r>
    <x v="18"/>
    <n v="63000"/>
    <x v="17"/>
    <x v="17"/>
    <s v="Yokohama Animation Lab"/>
    <x v="0"/>
    <s v="Winter"/>
  </r>
  <r>
    <x v="19"/>
    <n v="55000"/>
    <x v="18"/>
    <x v="18"/>
    <s v="Brain's Base"/>
    <x v="0"/>
    <s v="Winter"/>
  </r>
  <r>
    <x v="20"/>
    <n v="48000"/>
    <x v="19"/>
    <x v="19"/>
    <s v="Ashi Productions"/>
    <x v="0"/>
    <s v="Winter"/>
  </r>
  <r>
    <x v="21"/>
    <n v="47000"/>
    <x v="20"/>
    <x v="20"/>
    <s v="Project No.9"/>
    <x v="0"/>
    <s v="Winter"/>
  </r>
  <r>
    <x v="22"/>
    <n v="45000"/>
    <x v="21"/>
    <x v="21"/>
    <s v="Studio Deen"/>
    <x v="0"/>
    <s v="Winter"/>
  </r>
  <r>
    <x v="23"/>
    <n v="44000"/>
    <x v="22"/>
    <x v="22"/>
    <s v="A.C.G.T."/>
    <x v="0"/>
    <s v="Winter"/>
  </r>
  <r>
    <x v="24"/>
    <n v="42000"/>
    <x v="23"/>
    <x v="23"/>
    <s v="Studio Deen"/>
    <x v="0"/>
    <s v="Winter"/>
  </r>
  <r>
    <x v="25"/>
    <n v="41000"/>
    <x v="24"/>
    <x v="24"/>
    <s v="Bellnox Films"/>
    <x v="0"/>
    <s v="Winter"/>
  </r>
  <r>
    <x v="26"/>
    <n v="40000"/>
    <x v="25"/>
    <x v="25"/>
    <s v="EMT Squared"/>
    <x v="0"/>
    <s v="Winter"/>
  </r>
  <r>
    <x v="27"/>
    <n v="39000"/>
    <x v="26"/>
    <x v="26"/>
    <s v="Okuruto Noboru"/>
    <x v="0"/>
    <s v="Winter"/>
  </r>
  <r>
    <x v="28"/>
    <n v="38000"/>
    <x v="27"/>
    <x v="27"/>
    <s v="ENGI"/>
    <x v="0"/>
    <s v="Winter"/>
  </r>
  <r>
    <x v="29"/>
    <n v="37000"/>
    <x v="28"/>
    <x v="28"/>
    <s v="HORNETS"/>
    <x v="0"/>
    <s v="Winter"/>
  </r>
  <r>
    <x v="30"/>
    <n v="34000"/>
    <x v="29"/>
    <x v="29"/>
    <s v="Qzil.la, Typhoon Graphics"/>
    <x v="0"/>
    <s v="Winter"/>
  </r>
  <r>
    <x v="31"/>
    <n v="33000"/>
    <x v="30"/>
    <x v="30"/>
    <s v="Signal.MD"/>
    <x v="0"/>
    <s v="Winter"/>
  </r>
  <r>
    <x v="32"/>
    <n v="30000"/>
    <x v="31"/>
    <x v="31"/>
    <s v="Felix Film"/>
    <x v="0"/>
    <s v="Winter"/>
  </r>
  <r>
    <x v="33"/>
    <n v="25000"/>
    <x v="32"/>
    <x v="32"/>
    <s v="OLM"/>
    <x v="0"/>
    <s v="Winter"/>
  </r>
  <r>
    <x v="34"/>
    <n v="24000"/>
    <x v="33"/>
    <x v="33"/>
    <s v="asread."/>
    <x v="0"/>
    <s v="Winter"/>
  </r>
  <r>
    <x v="35"/>
    <n v="22000"/>
    <x v="34"/>
    <x v="34"/>
    <s v="SILVER LINK."/>
    <x v="0"/>
    <s v="Winter"/>
  </r>
  <r>
    <x v="36"/>
    <n v="20000"/>
    <x v="35"/>
    <x v="35"/>
    <s v="Diomedéa"/>
    <x v="0"/>
    <s v="Winter"/>
  </r>
  <r>
    <x v="37"/>
    <n v="13000"/>
    <x v="36"/>
    <x v="36"/>
    <s v="Typhoon Graphics"/>
    <x v="0"/>
    <s v="Winter"/>
  </r>
  <r>
    <x v="38"/>
    <n v="9000"/>
    <x v="19"/>
    <x v="37"/>
    <s v="Studio KAI"/>
    <x v="0"/>
    <s v="Winter"/>
  </r>
  <r>
    <x v="39"/>
    <n v="8900"/>
    <x v="9"/>
    <x v="38"/>
    <s v="Maho Film"/>
    <x v="0"/>
    <s v="Winter"/>
  </r>
  <r>
    <x v="40"/>
    <n v="7200"/>
    <x v="34"/>
    <x v="39"/>
    <s v="Sunrise"/>
    <x v="0"/>
    <s v="Winter"/>
  </r>
  <r>
    <x v="41"/>
    <n v="7100"/>
    <x v="37"/>
    <x v="40"/>
    <s v="SynergySP"/>
    <x v="0"/>
    <s v="Winter"/>
  </r>
  <r>
    <x v="42"/>
    <n v="6300"/>
    <x v="38"/>
    <x v="41"/>
    <s v="Imageworks Studio, Imagica Infos"/>
    <x v="0"/>
    <s v="Winter"/>
  </r>
  <r>
    <x v="43"/>
    <n v="4600"/>
    <x v="39"/>
    <x v="42"/>
    <s v="Toei Animation"/>
    <x v="0"/>
    <s v="Winter"/>
  </r>
  <r>
    <x v="44"/>
    <n v="4100"/>
    <x v="40"/>
    <x v="43"/>
    <s v="Seven"/>
    <x v="0"/>
    <s v="Winter"/>
  </r>
  <r>
    <x v="45"/>
    <n v="2600"/>
    <x v="41"/>
    <x v="44"/>
    <s v="ILCA"/>
    <x v="0"/>
    <s v="Winter"/>
  </r>
  <r>
    <x v="46"/>
    <n v="2100"/>
    <x v="42"/>
    <x v="45"/>
    <s v="Doraku"/>
    <x v="0"/>
    <s v="Winter"/>
  </r>
  <r>
    <x v="47"/>
    <n v="1600"/>
    <x v="43"/>
    <x v="46"/>
    <s v="Gift-o’-Animation, Kinema Citrus, Studio Jemi"/>
    <x v="0"/>
    <s v="Winter"/>
  </r>
  <r>
    <x v="48"/>
    <n v="2700000"/>
    <x v="4"/>
    <x v="47"/>
    <s v="Toei Animation"/>
    <x v="0"/>
    <s v="Winter"/>
  </r>
  <r>
    <x v="49"/>
    <n v="377000"/>
    <x v="44"/>
    <x v="48"/>
    <s v="TMS Entertainment"/>
    <x v="0"/>
    <s v="Winter"/>
  </r>
  <r>
    <x v="50"/>
    <n v="148000"/>
    <x v="45"/>
    <x v="49"/>
    <s v="Drive, Studio Massket"/>
    <x v="0"/>
    <s v="Winter"/>
  </r>
  <r>
    <x v="51"/>
    <n v="81000"/>
    <x v="46"/>
    <x v="50"/>
    <s v="feel."/>
    <x v="0"/>
    <s v="Winter"/>
  </r>
  <r>
    <x v="52"/>
    <n v="60000"/>
    <x v="47"/>
    <x v="51"/>
    <s v="LIDENFILMS"/>
    <x v="0"/>
    <s v="Winter"/>
  </r>
  <r>
    <x v="53"/>
    <n v="49000"/>
    <x v="48"/>
    <x v="52"/>
    <s v="domerica"/>
    <x v="0"/>
    <s v="Winter"/>
  </r>
  <r>
    <x v="54"/>
    <n v="17000"/>
    <x v="49"/>
    <x v="53"/>
    <s v="Nippon Animation"/>
    <x v="0"/>
    <s v="Winter"/>
  </r>
  <r>
    <x v="55"/>
    <n v="10000"/>
    <x v="50"/>
    <x v="54"/>
    <s v="Eiken"/>
    <x v="0"/>
    <s v="Winter"/>
  </r>
  <r>
    <x v="56"/>
    <n v="9300"/>
    <x v="51"/>
    <x v="55"/>
    <s v="Studio VOLN"/>
    <x v="0"/>
    <s v="Winter"/>
  </r>
  <r>
    <x v="57"/>
    <n v="8800"/>
    <x v="52"/>
    <x v="56"/>
    <s v="Nippon Animation"/>
    <x v="0"/>
    <s v="Winter"/>
  </r>
  <r>
    <x v="58"/>
    <n v="8500"/>
    <x v="53"/>
    <x v="57"/>
    <s v="studio maf"/>
    <x v="0"/>
    <s v="Winter"/>
  </r>
  <r>
    <x v="59"/>
    <n v="7500"/>
    <x v="54"/>
    <x v="58"/>
    <s v="SILVER LINK."/>
    <x v="0"/>
    <s v="Winter"/>
  </r>
  <r>
    <x v="60"/>
    <n v="6500"/>
    <x v="49"/>
    <x v="59"/>
    <s v="Lesprit"/>
    <x v="0"/>
    <s v="Winter"/>
  </r>
  <r>
    <x v="61"/>
    <n v="3900"/>
    <x v="55"/>
    <x v="60"/>
    <s v="OLM"/>
    <x v="0"/>
    <s v="Winter"/>
  </r>
  <r>
    <x v="62"/>
    <n v="182000"/>
    <x v="56"/>
    <x v="61"/>
    <s v="David Production"/>
    <x v="0"/>
    <s v="Winter"/>
  </r>
  <r>
    <x v="63"/>
    <n v="79000"/>
    <x v="57"/>
    <x v="62"/>
    <s v="Studio Chromato, Studio Colorido"/>
    <x v="0"/>
    <s v="Winter"/>
  </r>
  <r>
    <x v="64"/>
    <n v="50000"/>
    <x v="58"/>
    <x v="63"/>
    <s v="Wit Studio"/>
    <x v="0"/>
    <s v="Winter"/>
  </r>
  <r>
    <x v="65"/>
    <n v="28000"/>
    <x v="59"/>
    <x v="64"/>
    <s v="TMS Entertainment"/>
    <x v="0"/>
    <s v="Winter"/>
  </r>
  <r>
    <x v="66"/>
    <n v="15000"/>
    <x v="60"/>
    <x v="17"/>
    <s v="Sparkly Key Animation Studio"/>
    <x v="0"/>
    <s v="Winter"/>
  </r>
  <r>
    <x v="67"/>
    <n v="14000"/>
    <x v="61"/>
    <x v="65"/>
    <s v="Foch Film"/>
    <x v="0"/>
    <s v="Winter"/>
  </r>
  <r>
    <x v="68"/>
    <n v="12000"/>
    <x v="6"/>
    <x v="65"/>
    <s v="Motion Magic"/>
    <x v="0"/>
    <s v="Winter"/>
  </r>
  <r>
    <x v="69"/>
    <n v="11000"/>
    <x v="62"/>
    <x v="66"/>
    <s v="Red Dog Culture House"/>
    <x v="0"/>
    <s v="Winter"/>
  </r>
  <r>
    <x v="70"/>
    <n v="6900"/>
    <x v="63"/>
    <x v="67"/>
    <s v="Sparkly Key Animation Studio"/>
    <x v="0"/>
    <s v="Winter"/>
  </r>
  <r>
    <x v="71"/>
    <n v="5900"/>
    <x v="64"/>
    <x v="68"/>
    <s v="Sparkly Key Animation Studio"/>
    <x v="0"/>
    <s v="Winter"/>
  </r>
  <r>
    <x v="72"/>
    <n v="5000"/>
    <x v="51"/>
    <x v="69"/>
    <s v="Konami animation"/>
    <x v="0"/>
    <s v="Winter"/>
  </r>
  <r>
    <x v="73"/>
    <n v="3800"/>
    <x v="65"/>
    <x v="65"/>
    <s v="Suoyi Technology"/>
    <x v="0"/>
    <s v="Winter"/>
  </r>
  <r>
    <x v="74"/>
    <n v="3400"/>
    <x v="66"/>
    <x v="70"/>
    <s v="Paper Plane Animation Studio"/>
    <x v="0"/>
    <s v="Winter"/>
  </r>
  <r>
    <x v="75"/>
    <n v="1700"/>
    <x v="67"/>
    <x v="71"/>
    <s v="UKA"/>
    <x v="0"/>
    <s v="Winter"/>
  </r>
  <r>
    <x v="76"/>
    <n v="1200"/>
    <x v="68"/>
    <x v="17"/>
    <s v="Flying Fish Studio, Yien Animation Studio"/>
    <x v="0"/>
    <s v="Winter"/>
  </r>
  <r>
    <x v="77"/>
    <n v="945"/>
    <x v="69"/>
    <x v="65"/>
    <s v="Cloud Art"/>
    <x v="0"/>
    <s v="Winter"/>
  </r>
  <r>
    <x v="78"/>
    <n v="915"/>
    <x v="70"/>
    <x v="17"/>
    <s v="Wonder Cat Animation, Yien Animation Studio"/>
    <x v="0"/>
    <s v="Winter"/>
  </r>
  <r>
    <x v="79"/>
    <n v="755"/>
    <x v="66"/>
    <x v="69"/>
    <s v="Motion Magic"/>
    <x v="0"/>
    <s v="Winter"/>
  </r>
  <r>
    <x v="80"/>
    <n v="654"/>
    <x v="71"/>
    <x v="65"/>
    <s v="Honglu Technology"/>
    <x v="0"/>
    <s v="Winter"/>
  </r>
  <r>
    <x v="81"/>
    <n v="651"/>
    <x v="30"/>
    <x v="65"/>
    <s v="Qingxiang Culture"/>
    <x v="0"/>
    <s v="Winter"/>
  </r>
  <r>
    <x v="82"/>
    <n v="348"/>
    <x v="72"/>
    <x v="72"/>
    <s v="ROLL2"/>
    <x v="0"/>
    <s v="Winter"/>
  </r>
  <r>
    <x v="83"/>
    <n v="16000"/>
    <x v="67"/>
    <x v="73"/>
    <s v="Studio 4°C"/>
    <x v="0"/>
    <s v="Winter"/>
  </r>
  <r>
    <x v="84"/>
    <n v="9100"/>
    <x v="73"/>
    <x v="74"/>
    <s v="Studio Outrigger"/>
    <x v="0"/>
    <s v="Winter"/>
  </r>
  <r>
    <x v="85"/>
    <n v="2700"/>
    <x v="74"/>
    <x v="75"/>
    <s v="Shin-Ei Animation"/>
    <x v="0"/>
    <s v="Winter"/>
  </r>
  <r>
    <x v="86"/>
    <n v="31000"/>
    <x v="75"/>
    <x v="76"/>
    <s v="studio MOTHER"/>
    <x v="0"/>
    <s v="Winter"/>
  </r>
  <r>
    <x v="87"/>
    <n v="5700"/>
    <x v="76"/>
    <x v="77"/>
    <s v="Khara"/>
    <x v="0"/>
    <s v="Winter"/>
  </r>
  <r>
    <x v="88"/>
    <n v="2400"/>
    <x v="77"/>
    <x v="78"/>
    <s v="P.A. Works"/>
    <x v="0"/>
    <s v="Winter"/>
  </r>
  <r>
    <x v="89"/>
    <n v="1400"/>
    <x v="78"/>
    <x v="79"/>
    <s v="Actas"/>
    <x v="0"/>
    <s v="Winter"/>
  </r>
  <r>
    <x v="90"/>
    <n v="146000"/>
    <x v="79"/>
    <x v="80"/>
    <s v="8bit"/>
    <x v="0"/>
    <s v="Spring"/>
  </r>
  <r>
    <x v="91"/>
    <n v="108000"/>
    <x v="80"/>
    <x v="81"/>
    <s v="Project No.9"/>
    <x v="0"/>
    <s v="Spring"/>
  </r>
  <r>
    <x v="92"/>
    <n v="102000"/>
    <x v="81"/>
    <x v="82"/>
    <s v="TMS Entertainment"/>
    <x v="0"/>
    <s v="Spring"/>
  </r>
  <r>
    <x v="93"/>
    <n v="57000"/>
    <x v="63"/>
    <x v="83"/>
    <s v="Wit Studio"/>
    <x v="0"/>
    <s v="Spring"/>
  </r>
  <r>
    <x v="94"/>
    <n v="56000"/>
    <x v="82"/>
    <x v="84"/>
    <s v="Bandai Namco Pictures"/>
    <x v="0"/>
    <s v="Spring"/>
  </r>
  <r>
    <x v="95"/>
    <n v="35000"/>
    <x v="83"/>
    <x v="85"/>
    <s v="Studio KAI"/>
    <x v="0"/>
    <s v="Spring"/>
  </r>
  <r>
    <x v="96"/>
    <n v="32000"/>
    <x v="84"/>
    <x v="86"/>
    <s v="Studio KAI"/>
    <x v="0"/>
    <s v="Spring"/>
  </r>
  <r>
    <x v="97"/>
    <n v="23000"/>
    <x v="85"/>
    <x v="87"/>
    <s v="Studio Flad"/>
    <x v="0"/>
    <s v="Spring"/>
  </r>
  <r>
    <x v="98"/>
    <n v="18000"/>
    <x v="86"/>
    <x v="88"/>
    <s v="TROYCA"/>
    <x v="0"/>
    <s v="Spring"/>
  </r>
  <r>
    <x v="99"/>
    <n v="53000"/>
    <x v="87"/>
    <x v="89"/>
    <s v="MAPPA"/>
    <x v="0"/>
    <s v="Spring"/>
  </r>
  <r>
    <x v="100"/>
    <n v="763000"/>
    <x v="88"/>
    <x v="90"/>
    <s v="A-1 Pictures"/>
    <x v="1"/>
    <s v="Winter"/>
  </r>
  <r>
    <x v="101"/>
    <n v="495000"/>
    <x v="89"/>
    <x v="91"/>
    <s v="TMS Entertainment"/>
    <x v="1"/>
    <s v="Winter"/>
  </r>
  <r>
    <x v="102"/>
    <n v="487000"/>
    <x v="90"/>
    <x v="92"/>
    <s v="OLM, TOHO animation STUDIO"/>
    <x v="1"/>
    <s v="Winter"/>
  </r>
  <r>
    <x v="103"/>
    <n v="299000"/>
    <x v="91"/>
    <x v="82"/>
    <s v="TMS Entertainment"/>
    <x v="1"/>
    <s v="Winter"/>
  </r>
  <r>
    <x v="104"/>
    <n v="173000"/>
    <x v="92"/>
    <x v="93"/>
    <s v="Bibury Animation Studios"/>
    <x v="1"/>
    <s v="Winter"/>
  </r>
  <r>
    <x v="105"/>
    <n v="169000"/>
    <x v="93"/>
    <x v="94"/>
    <s v="MAPPA"/>
    <x v="1"/>
    <s v="Winter"/>
  </r>
  <r>
    <x v="106"/>
    <n v="163000"/>
    <x v="94"/>
    <x v="95"/>
    <s v="AXsiZ, Studio Gokumi"/>
    <x v="1"/>
    <s v="Winter"/>
  </r>
  <r>
    <x v="107"/>
    <n v="151000"/>
    <x v="69"/>
    <x v="96"/>
    <s v="Kinema Citrus"/>
    <x v="1"/>
    <s v="Winter"/>
  </r>
  <r>
    <x v="108"/>
    <n v="147000"/>
    <x v="95"/>
    <x v="97"/>
    <s v="CloverWorks"/>
    <x v="1"/>
    <s v="Winter"/>
  </r>
  <r>
    <x v="109"/>
    <n v="135000"/>
    <x v="96"/>
    <x v="98"/>
    <s v="Blade"/>
    <x v="1"/>
    <s v="Winter"/>
  </r>
  <r>
    <x v="110"/>
    <n v="130000"/>
    <x v="97"/>
    <x v="3"/>
    <s v="Okuruto Noboru"/>
    <x v="1"/>
    <s v="Winter"/>
  </r>
  <r>
    <x v="111"/>
    <n v="129000"/>
    <x v="98"/>
    <x v="99"/>
    <s v="J.C.Staff"/>
    <x v="1"/>
    <s v="Winter"/>
  </r>
  <r>
    <x v="112"/>
    <n v="125000"/>
    <x v="99"/>
    <x v="100"/>
    <s v="SynergySP"/>
    <x v="1"/>
    <s v="Winter"/>
  </r>
  <r>
    <x v="113"/>
    <n v="123000"/>
    <x v="100"/>
    <x v="101"/>
    <s v="Studio Comet"/>
    <x v="1"/>
    <s v="Winter"/>
  </r>
  <r>
    <x v="114"/>
    <n v="120000"/>
    <x v="28"/>
    <x v="102"/>
    <s v="CompTown, Geek Toys"/>
    <x v="1"/>
    <s v="Winter"/>
  </r>
  <r>
    <x v="115"/>
    <n v="112000"/>
    <x v="99"/>
    <x v="103"/>
    <s v="Bandai Namco Pictures"/>
    <x v="1"/>
    <s v="Winter"/>
  </r>
  <r>
    <x v="116"/>
    <n v="100000"/>
    <x v="101"/>
    <x v="3"/>
    <s v="Asahi Production"/>
    <x v="1"/>
    <s v="Winter"/>
  </r>
  <r>
    <x v="117"/>
    <n v="99000"/>
    <x v="102"/>
    <x v="104"/>
    <s v="East Fish Studio"/>
    <x v="1"/>
    <s v="Winter"/>
  </r>
  <r>
    <x v="118"/>
    <n v="98000"/>
    <x v="103"/>
    <x v="105"/>
    <s v="Project No.9"/>
    <x v="1"/>
    <s v="Winter"/>
  </r>
  <r>
    <x v="119"/>
    <n v="89000"/>
    <x v="104"/>
    <x v="27"/>
    <s v="ENGI"/>
    <x v="1"/>
    <s v="Winter"/>
  </r>
  <r>
    <x v="120"/>
    <n v="85000"/>
    <x v="105"/>
    <x v="106"/>
    <s v="Marvy Jack, Studio Deen"/>
    <x v="1"/>
    <s v="Winter"/>
  </r>
  <r>
    <x v="121"/>
    <n v="72000"/>
    <x v="19"/>
    <x v="107"/>
    <s v="Millepensee"/>
    <x v="1"/>
    <s v="Winter"/>
  </r>
  <r>
    <x v="122"/>
    <n v="67000"/>
    <x v="106"/>
    <x v="108"/>
    <s v="Satelight"/>
    <x v="1"/>
    <s v="Winter"/>
  </r>
  <r>
    <x v="123"/>
    <n v="62000"/>
    <x v="107"/>
    <x v="109"/>
    <s v="ENGI"/>
    <x v="1"/>
    <s v="Winter"/>
  </r>
  <r>
    <x v="124"/>
    <n v="26000"/>
    <x v="108"/>
    <x v="110"/>
    <s v="GoHands"/>
    <x v="1"/>
    <s v="Winter"/>
  </r>
  <r>
    <x v="125"/>
    <n v="5800"/>
    <x v="109"/>
    <x v="46"/>
    <s v="Studio Deen, Toei Animation"/>
    <x v="1"/>
    <s v="Winter"/>
  </r>
  <r>
    <x v="126"/>
    <n v="5500"/>
    <x v="110"/>
    <x v="111"/>
    <s v="Satelight"/>
    <x v="1"/>
    <s v="Winter"/>
  </r>
  <r>
    <x v="127"/>
    <n v="490000"/>
    <x v="111"/>
    <x v="112"/>
    <s v="White Fox"/>
    <x v="1"/>
    <s v="Winter"/>
  </r>
  <r>
    <x v="128"/>
    <n v="325000"/>
    <x v="112"/>
    <x v="113"/>
    <s v="Telecom Animation Film"/>
    <x v="1"/>
    <s v="Winter"/>
  </r>
  <r>
    <x v="129"/>
    <n v="286000"/>
    <x v="113"/>
    <x v="114"/>
    <s v="Madhouse"/>
    <x v="1"/>
    <s v="Winter"/>
  </r>
  <r>
    <x v="130"/>
    <n v="259000"/>
    <x v="114"/>
    <x v="115"/>
    <s v="C2C"/>
    <x v="1"/>
    <s v="Winter"/>
  </r>
  <r>
    <x v="131"/>
    <n v="216000"/>
    <x v="92"/>
    <x v="3"/>
    <s v="J.C.Staff"/>
    <x v="1"/>
    <s v="Winter"/>
  </r>
  <r>
    <x v="132"/>
    <n v="200000"/>
    <x v="115"/>
    <x v="116"/>
    <s v="asread."/>
    <x v="1"/>
    <s v="Winter"/>
  </r>
  <r>
    <x v="133"/>
    <n v="136000"/>
    <x v="93"/>
    <x v="117"/>
    <s v="Toei Animation"/>
    <x v="1"/>
    <s v="Winter"/>
  </r>
  <r>
    <x v="134"/>
    <n v="111000"/>
    <x v="15"/>
    <x v="118"/>
    <s v="SILVER LINK., Studio Palette"/>
    <x v="1"/>
    <s v="Winter"/>
  </r>
  <r>
    <x v="135"/>
    <n v="109000"/>
    <x v="116"/>
    <x v="119"/>
    <s v="Drive"/>
    <x v="1"/>
    <s v="Winter"/>
  </r>
  <r>
    <x v="136"/>
    <n v="7900"/>
    <x v="117"/>
    <x v="120"/>
    <s v="Bridge"/>
    <x v="1"/>
    <s v="Winter"/>
  </r>
  <r>
    <x v="137"/>
    <n v="6700"/>
    <x v="23"/>
    <x v="121"/>
    <s v="Toei Animation"/>
    <x v="1"/>
    <s v="Winter"/>
  </r>
  <r>
    <x v="138"/>
    <n v="54000"/>
    <x v="98"/>
    <x v="3"/>
    <s v="Big Firebird Culture"/>
    <x v="1"/>
    <s v="Winter"/>
  </r>
  <r>
    <x v="139"/>
    <n v="994"/>
    <x v="118"/>
    <x v="122"/>
    <s v="G-angle"/>
    <x v="1"/>
    <s v="Winter"/>
  </r>
  <r>
    <x v="140"/>
    <n v="954"/>
    <x v="32"/>
    <x v="123"/>
    <s v="monofilmo"/>
    <x v="1"/>
    <s v="Winter"/>
  </r>
  <r>
    <x v="141"/>
    <n v="777"/>
    <x v="119"/>
    <x v="124"/>
    <s v="AQUA ARIS"/>
    <x v="1"/>
    <s v="Winter"/>
  </r>
  <r>
    <x v="142"/>
    <n v="659"/>
    <x v="41"/>
    <x v="125"/>
    <s v="AQUA ARIS"/>
    <x v="1"/>
    <s v="Winter"/>
  </r>
  <r>
    <x v="143"/>
    <n v="620"/>
    <x v="120"/>
    <x v="126"/>
    <s v="LX Animation Studio"/>
    <x v="1"/>
    <s v="Winter"/>
  </r>
  <r>
    <x v="144"/>
    <n v="594"/>
    <x v="121"/>
    <x v="127"/>
    <s v="HM Heros"/>
    <x v="1"/>
    <s v="Winter"/>
  </r>
  <r>
    <x v="145"/>
    <n v="570"/>
    <x v="73"/>
    <x v="128"/>
    <s v="Wonder Cat Animation"/>
    <x v="1"/>
    <s v="Winter"/>
  </r>
  <r>
    <x v="146"/>
    <n v="523"/>
    <x v="122"/>
    <x v="65"/>
    <s v="Original Force, Wonder Cat Animation"/>
    <x v="1"/>
    <s v="Winter"/>
  </r>
  <r>
    <x v="147"/>
    <n v="514"/>
    <x v="123"/>
    <x v="129"/>
    <s v="CG Year"/>
    <x v="1"/>
    <s v="Winter"/>
  </r>
  <r>
    <x v="148"/>
    <n v="513"/>
    <x v="124"/>
    <x v="130"/>
    <s v="AQUA ARIS"/>
    <x v="1"/>
    <s v="Winter"/>
  </r>
  <r>
    <x v="149"/>
    <n v="500"/>
    <x v="102"/>
    <x v="3"/>
    <s v="Ruo Hong Culture"/>
    <x v="1"/>
    <s v="Winter"/>
  </r>
  <r>
    <x v="150"/>
    <n v="486"/>
    <x v="125"/>
    <x v="131"/>
    <s v="Tang Kirin Culture"/>
    <x v="1"/>
    <s v="Winter"/>
  </r>
  <r>
    <x v="151"/>
    <n v="438"/>
    <x v="126"/>
    <x v="132"/>
    <s v="AQUA ARIS"/>
    <x v="1"/>
    <s v="Winter"/>
  </r>
  <r>
    <x v="152"/>
    <n v="423"/>
    <x v="16"/>
    <x v="72"/>
    <s v="Studio DURIAN"/>
    <x v="1"/>
    <s v="Winter"/>
  </r>
  <r>
    <x v="153"/>
    <n v="9500"/>
    <x v="127"/>
    <x v="133"/>
    <s v="Khara, Sunrise"/>
    <x v="1"/>
    <s v="Winter"/>
  </r>
  <r>
    <x v="154"/>
    <n v="8300"/>
    <x v="128"/>
    <x v="133"/>
    <s v="A-1 Pictures, TROYCA"/>
    <x v="1"/>
    <s v="Winter"/>
  </r>
  <r>
    <x v="155"/>
    <n v="3000"/>
    <x v="36"/>
    <x v="110"/>
    <s v="GoHands"/>
    <x v="1"/>
    <s v="Winter"/>
  </r>
  <r>
    <x v="156"/>
    <n v="938"/>
    <x v="129"/>
    <x v="54"/>
    <s v="DLE"/>
    <x v="1"/>
    <s v="Winter"/>
  </r>
  <r>
    <x v="157"/>
    <n v="534000"/>
    <x v="18"/>
    <x v="134"/>
    <s v="Science SARU"/>
    <x v="1"/>
    <s v="Summer"/>
  </r>
  <r>
    <x v="158"/>
    <n v="472000"/>
    <x v="80"/>
    <x v="135"/>
    <s v="Bones Film"/>
    <x v="1"/>
    <s v="Summer"/>
  </r>
  <r>
    <x v="159"/>
    <n v="454000"/>
    <x v="44"/>
    <x v="136"/>
    <s v="CloverWorks"/>
    <x v="1"/>
    <s v="Summer"/>
  </r>
  <r>
    <x v="160"/>
    <n v="436000"/>
    <x v="130"/>
    <x v="137"/>
    <s v="CloverWorks"/>
    <x v="1"/>
    <s v="Summer"/>
  </r>
  <r>
    <x v="161"/>
    <n v="356000"/>
    <x v="131"/>
    <x v="138"/>
    <s v="Production I.G"/>
    <x v="1"/>
    <s v="Summer"/>
  </r>
  <r>
    <x v="162"/>
    <n v="287000"/>
    <x v="132"/>
    <x v="139"/>
    <s v="CygamesPictures"/>
    <x v="1"/>
    <s v="Summer"/>
  </r>
  <r>
    <x v="163"/>
    <n v="246000"/>
    <x v="133"/>
    <x v="91"/>
    <s v="TMS Entertainment"/>
    <x v="1"/>
    <s v="Summer"/>
  </r>
  <r>
    <x v="164"/>
    <n v="237000"/>
    <x v="87"/>
    <x v="140"/>
    <s v="LIDENFILMS"/>
    <x v="1"/>
    <s v="Summer"/>
  </r>
  <r>
    <x v="165"/>
    <n v="209000"/>
    <x v="134"/>
    <x v="141"/>
    <s v="Studio Gokumi"/>
    <x v="1"/>
    <s v="Summer"/>
  </r>
  <r>
    <x v="166"/>
    <n v="208000"/>
    <x v="135"/>
    <x v="142"/>
    <s v="CloverWorks"/>
    <x v="1"/>
    <s v="Summer"/>
  </r>
  <r>
    <x v="167"/>
    <n v="194000"/>
    <x v="57"/>
    <x v="143"/>
    <s v="Liber, Zero-G"/>
    <x v="1"/>
    <s v="Summer"/>
  </r>
  <r>
    <x v="168"/>
    <n v="191000"/>
    <x v="136"/>
    <x v="144"/>
    <s v="Typhoon Graphics, WonderLand"/>
    <x v="1"/>
    <s v="Summer"/>
  </r>
  <r>
    <x v="169"/>
    <n v="188000"/>
    <x v="31"/>
    <x v="145"/>
    <s v="Lay-duce"/>
    <x v="1"/>
    <s v="Summer"/>
  </r>
  <r>
    <x v="170"/>
    <n v="175000"/>
    <x v="66"/>
    <x v="146"/>
    <s v="Kinema Citrus"/>
    <x v="1"/>
    <s v="Summer"/>
  </r>
  <r>
    <x v="171"/>
    <n v="137000"/>
    <x v="127"/>
    <x v="147"/>
    <s v="Tsumugi Akita Animation Lab"/>
    <x v="1"/>
    <s v="Summer"/>
  </r>
  <r>
    <x v="172"/>
    <n v="121000"/>
    <x v="137"/>
    <x v="148"/>
    <s v="Maho Film"/>
    <x v="1"/>
    <s v="Summer"/>
  </r>
  <r>
    <x v="173"/>
    <n v="106000"/>
    <x v="83"/>
    <x v="149"/>
    <s v="P.A. Works"/>
    <x v="1"/>
    <s v="Summer"/>
  </r>
  <r>
    <x v="174"/>
    <n v="91000"/>
    <x v="138"/>
    <x v="150"/>
    <s v="TMS Entertainment"/>
    <x v="1"/>
    <s v="Summer"/>
  </r>
  <r>
    <x v="175"/>
    <n v="86000"/>
    <x v="139"/>
    <x v="106"/>
    <s v="Felix Film"/>
    <x v="1"/>
    <s v="Summer"/>
  </r>
  <r>
    <x v="176"/>
    <n v="83000"/>
    <x v="16"/>
    <x v="151"/>
    <s v="Sotsu, Studio Clutch"/>
    <x v="1"/>
    <s v="Summer"/>
  </r>
  <r>
    <x v="177"/>
    <n v="69000"/>
    <x v="140"/>
    <x v="152"/>
    <s v="Staple Entertainment"/>
    <x v="1"/>
    <s v="Summer"/>
  </r>
  <r>
    <x v="178"/>
    <n v="64000"/>
    <x v="141"/>
    <x v="153"/>
    <s v="LandQ studios"/>
    <x v="1"/>
    <s v="Summer"/>
  </r>
  <r>
    <x v="179"/>
    <n v="3500"/>
    <x v="142"/>
    <x v="44"/>
    <s v="ILCA"/>
    <x v="1"/>
    <s v="Summer"/>
  </r>
  <r>
    <x v="180"/>
    <n v="205000"/>
    <x v="141"/>
    <x v="154"/>
    <s v="Bibury Animation Studios"/>
    <x v="1"/>
    <s v="Summer"/>
  </r>
  <r>
    <x v="181"/>
    <n v="43000"/>
    <x v="9"/>
    <x v="155"/>
    <s v="Wit Studio"/>
    <x v="1"/>
    <s v="Summer"/>
  </r>
  <r>
    <x v="182"/>
    <n v="304000"/>
    <x v="143"/>
    <x v="156"/>
    <s v="Enishiya"/>
    <x v="1"/>
    <s v="Summer"/>
  </r>
  <r>
    <x v="183"/>
    <n v="242000"/>
    <x v="144"/>
    <x v="46"/>
    <s v="B.COOL STUDIO, LAN Studio, Paper Plane Animation Studio, Pb Animation"/>
    <x v="1"/>
    <s v="Summer"/>
  </r>
  <r>
    <x v="184"/>
    <n v="199000"/>
    <x v="145"/>
    <x v="157"/>
    <s v="B.CMAY PICTURES"/>
    <x v="1"/>
    <s v="Summer"/>
  </r>
  <r>
    <x v="185"/>
    <n v="695"/>
    <x v="146"/>
    <x v="158"/>
    <s v="LAN Studio, Pb Animation, Sunflowers"/>
    <x v="1"/>
    <s v="Summer"/>
  </r>
  <r>
    <x v="186"/>
    <n v="662"/>
    <x v="147"/>
    <x v="132"/>
    <s v="AQUA ARIS"/>
    <x v="1"/>
    <s v="Summer"/>
  </r>
  <r>
    <x v="187"/>
    <n v="656"/>
    <x v="148"/>
    <x v="65"/>
    <s v="Suoyi Technology"/>
    <x v="1"/>
    <s v="Summer"/>
  </r>
  <r>
    <x v="188"/>
    <n v="605"/>
    <x v="149"/>
    <x v="132"/>
    <s v="AQUA ARIS"/>
    <x v="1"/>
    <s v="Summer"/>
  </r>
  <r>
    <x v="189"/>
    <n v="588"/>
    <x v="150"/>
    <x v="159"/>
    <s v="CloverWorks"/>
    <x v="1"/>
    <s v="Summer"/>
  </r>
  <r>
    <x v="190"/>
    <n v="556"/>
    <x v="125"/>
    <x v="65"/>
    <s v="Suoyi Technology"/>
    <x v="1"/>
    <s v="Summer"/>
  </r>
  <r>
    <x v="191"/>
    <n v="517"/>
    <x v="101"/>
    <x v="132"/>
    <s v="AQUA ARIS"/>
    <x v="1"/>
    <s v="Summer"/>
  </r>
  <r>
    <x v="192"/>
    <n v="444000"/>
    <x v="151"/>
    <x v="160"/>
    <s v="MAPPA"/>
    <x v="1"/>
    <s v="Summer"/>
  </r>
  <r>
    <x v="193"/>
    <n v="360000"/>
    <x v="1"/>
    <x v="161"/>
    <s v="ufotable"/>
    <x v="1"/>
    <s v="Summer"/>
  </r>
  <r>
    <x v="194"/>
    <n v="66000"/>
    <x v="152"/>
    <x v="162"/>
    <s v="Rock'n Roll Mountain"/>
    <x v="1"/>
    <s v="Summer"/>
  </r>
  <r>
    <x v="195"/>
    <n v="2800"/>
    <x v="153"/>
    <x v="163"/>
    <s v="ufotable"/>
    <x v="1"/>
    <s v="Summer"/>
  </r>
  <r>
    <x v="196"/>
    <n v="953"/>
    <x v="83"/>
    <x v="16"/>
    <s v="Fenz, Shanghai Animation Film Studio"/>
    <x v="1"/>
    <s v="Summer"/>
  </r>
  <r>
    <x v="197"/>
    <n v="9600"/>
    <x v="154"/>
    <x v="141"/>
    <s v="Studio Gokumi"/>
    <x v="1"/>
    <s v="Summer"/>
  </r>
  <r>
    <x v="198"/>
    <n v="601"/>
    <x v="124"/>
    <x v="164"/>
    <s v="PRA"/>
    <x v="1"/>
    <s v="Summer"/>
  </r>
  <r>
    <x v="199"/>
    <n v="308000"/>
    <x v="155"/>
    <x v="165"/>
    <s v="David Production"/>
    <x v="1"/>
    <s v="Spring"/>
  </r>
  <r>
    <x v="200"/>
    <n v="224000"/>
    <x v="83"/>
    <x v="166"/>
    <s v="CloverWorks"/>
    <x v="1"/>
    <s v="Spring"/>
  </r>
  <r>
    <x v="201"/>
    <n v="181000"/>
    <x v="30"/>
    <x v="145"/>
    <s v="Hayabusa Film, Passione"/>
    <x v="1"/>
    <s v="Spring"/>
  </r>
  <r>
    <x v="202"/>
    <n v="179000"/>
    <x v="22"/>
    <x v="15"/>
    <s v="Studio A-CAT"/>
    <x v="1"/>
    <s v="Spring"/>
  </r>
  <r>
    <x v="203"/>
    <n v="160000"/>
    <x v="156"/>
    <x v="16"/>
    <s v="Makaria"/>
    <x v="1"/>
    <s v="Spring"/>
  </r>
  <r>
    <x v="204"/>
    <n v="127000"/>
    <x v="22"/>
    <x v="167"/>
    <s v="LIDENFILMS"/>
    <x v="1"/>
    <s v="Spring"/>
  </r>
  <r>
    <x v="205"/>
    <n v="126000"/>
    <x v="157"/>
    <x v="168"/>
    <s v="Teddy"/>
    <x v="1"/>
    <s v="Spring"/>
  </r>
  <r>
    <x v="206"/>
    <n v="118000"/>
    <x v="158"/>
    <x v="149"/>
    <s v="Doga Kobo"/>
    <x v="1"/>
    <s v="Spring"/>
  </r>
  <r>
    <x v="207"/>
    <n v="97000"/>
    <x v="159"/>
    <x v="169"/>
    <s v="CygamesPictures"/>
    <x v="1"/>
    <s v="Spring"/>
  </r>
  <r>
    <x v="208"/>
    <n v="90000"/>
    <x v="160"/>
    <x v="170"/>
    <s v="TROYCA"/>
    <x v="1"/>
    <s v="Spring"/>
  </r>
  <r>
    <x v="209"/>
    <n v="88000"/>
    <x v="161"/>
    <x v="100"/>
    <s v="Felix Film"/>
    <x v="1"/>
    <s v="Spring"/>
  </r>
  <r>
    <x v="210"/>
    <n v="75000"/>
    <x v="162"/>
    <x v="171"/>
    <s v="CygamesPictures"/>
    <x v="1"/>
    <s v="Spring"/>
  </r>
  <r>
    <x v="211"/>
    <n v="59000"/>
    <x v="163"/>
    <x v="163"/>
    <s v="Shaft"/>
    <x v="1"/>
    <s v="Spring"/>
  </r>
  <r>
    <x v="212"/>
    <n v="6600"/>
    <x v="142"/>
    <x v="172"/>
    <s v="Platinum Vision"/>
    <x v="1"/>
    <s v="Spring"/>
  </r>
  <r>
    <x v="213"/>
    <n v="955"/>
    <x v="101"/>
    <x v="54"/>
    <s v="AQUA ARIS"/>
    <x v="1"/>
    <s v="Spring"/>
  </r>
  <r>
    <x v="214"/>
    <n v="888"/>
    <x v="8"/>
    <x v="65"/>
    <s v="CG Year"/>
    <x v="1"/>
    <s v="Spring"/>
  </r>
  <r>
    <x v="215"/>
    <n v="835"/>
    <x v="164"/>
    <x v="65"/>
    <s v="Suoyi Technology"/>
    <x v="1"/>
    <s v="Spring"/>
  </r>
  <r>
    <x v="216"/>
    <n v="799"/>
    <x v="118"/>
    <x v="173"/>
    <s v="Panda Tower Studio, Space Neko Company"/>
    <x v="1"/>
    <s v="Spring"/>
  </r>
  <r>
    <x v="217"/>
    <n v="734"/>
    <x v="165"/>
    <x v="174"/>
    <s v="D.ROCK-ART"/>
    <x v="1"/>
    <s v="Spring"/>
  </r>
  <r>
    <x v="218"/>
    <n v="628"/>
    <x v="166"/>
    <x v="72"/>
    <s v="Studio Moriken"/>
    <x v="1"/>
    <s v="Spring"/>
  </r>
  <r>
    <x v="219"/>
    <n v="621"/>
    <x v="16"/>
    <x v="175"/>
    <s v="Qingxiang Culture"/>
    <x v="1"/>
    <s v="Spring"/>
  </r>
  <r>
    <x v="220"/>
    <n v="551"/>
    <x v="148"/>
    <x v="65"/>
    <s v="Original Force"/>
    <x v="1"/>
    <s v="Spring"/>
  </r>
  <r>
    <x v="221"/>
    <n v="524"/>
    <x v="32"/>
    <x v="65"/>
    <s v="Suoyi Technology"/>
    <x v="1"/>
    <s v="Spring"/>
  </r>
  <r>
    <x v="222"/>
    <n v="7000"/>
    <x v="167"/>
    <x v="176"/>
    <s v="Actas"/>
    <x v="1"/>
    <s v="Spring"/>
  </r>
  <r>
    <x v="223"/>
    <n v="5400"/>
    <x v="29"/>
    <x v="177"/>
    <s v="Telecom Animation Film"/>
    <x v="1"/>
    <s v="Spring"/>
  </r>
  <r>
    <x v="224"/>
    <n v="972"/>
    <x v="118"/>
    <x v="178"/>
    <s v="Pie in the sky"/>
    <x v="1"/>
    <s v="Spring"/>
  </r>
  <r>
    <x v="225"/>
    <n v="432000"/>
    <x v="168"/>
    <x v="179"/>
    <s v="J.C.Staff"/>
    <x v="1"/>
    <s v="Fall"/>
  </r>
  <r>
    <x v="226"/>
    <n v="332000"/>
    <x v="2"/>
    <x v="180"/>
    <s v="CloverWorks, Wit Studio"/>
    <x v="1"/>
    <s v="Fall"/>
  </r>
  <r>
    <x v="227"/>
    <n v="293000"/>
    <x v="113"/>
    <x v="181"/>
    <s v="Bones Film"/>
    <x v="1"/>
    <s v="Fall"/>
  </r>
  <r>
    <x v="228"/>
    <n v="166000"/>
    <x v="16"/>
    <x v="182"/>
    <s v="Sunrise"/>
    <x v="1"/>
    <s v="Fall"/>
  </r>
  <r>
    <x v="229"/>
    <n v="161000"/>
    <x v="25"/>
    <x v="183"/>
    <s v="LIDENFILMS"/>
    <x v="1"/>
    <s v="Fall"/>
  </r>
  <r>
    <x v="230"/>
    <n v="132000"/>
    <x v="169"/>
    <x v="184"/>
    <s v="MAPPA"/>
    <x v="1"/>
    <s v="Fall"/>
  </r>
  <r>
    <x v="231"/>
    <n v="110000"/>
    <x v="78"/>
    <x v="85"/>
    <s v="Blade"/>
    <x v="1"/>
    <s v="Fall"/>
  </r>
  <r>
    <x v="232"/>
    <n v="105000"/>
    <x v="45"/>
    <x v="182"/>
    <s v="WAO World"/>
    <x v="1"/>
    <s v="Fall"/>
  </r>
  <r>
    <x v="233"/>
    <n v="104000"/>
    <x v="52"/>
    <x v="185"/>
    <s v="Science SARU"/>
    <x v="1"/>
    <s v="Fall"/>
  </r>
  <r>
    <x v="234"/>
    <n v="78000"/>
    <x v="170"/>
    <x v="186"/>
    <s v="P.A. Works"/>
    <x v="1"/>
    <s v="Fall"/>
  </r>
  <r>
    <x v="235"/>
    <n v="76000"/>
    <x v="171"/>
    <x v="187"/>
    <s v="Studio Lings"/>
    <x v="1"/>
    <s v="Fall"/>
  </r>
  <r>
    <x v="236"/>
    <n v="61000"/>
    <x v="1"/>
    <x v="169"/>
    <s v="CygamesPictures"/>
    <x v="1"/>
    <s v="Fall"/>
  </r>
  <r>
    <x v="237"/>
    <n v="5300"/>
    <x v="172"/>
    <x v="94"/>
    <s v="Yumeta Company"/>
    <x v="1"/>
    <s v="Fall"/>
  </r>
  <r>
    <x v="238"/>
    <n v="911"/>
    <x v="173"/>
    <x v="65"/>
    <s v="LX Animation Studio"/>
    <x v="1"/>
    <s v="Fall"/>
  </r>
  <r>
    <x v="239"/>
    <n v="871"/>
    <x v="174"/>
    <x v="65"/>
    <s v="BYMENT"/>
    <x v="1"/>
    <s v="Fall"/>
  </r>
  <r>
    <x v="240"/>
    <n v="863"/>
    <x v="122"/>
    <x v="65"/>
    <s v="Ruo Hong Culture"/>
    <x v="1"/>
    <s v="Fall"/>
  </r>
  <r>
    <x v="241"/>
    <n v="756"/>
    <x v="71"/>
    <x v="65"/>
    <s v="Xing Yi Kai Chen"/>
    <x v="1"/>
    <s v="Fall"/>
  </r>
  <r>
    <x v="242"/>
    <n v="749"/>
    <x v="175"/>
    <x v="188"/>
    <s v="Studio Comet"/>
    <x v="1"/>
    <s v="Fall"/>
  </r>
  <r>
    <x v="243"/>
    <n v="746"/>
    <x v="176"/>
    <x v="189"/>
    <s v="studio MOTHER"/>
    <x v="1"/>
    <s v="Fall"/>
  </r>
  <r>
    <x v="244"/>
    <n v="451"/>
    <x v="177"/>
    <x v="190"/>
    <s v="AQUA ARIS"/>
    <x v="1"/>
    <s v="Fall"/>
  </r>
  <r>
    <x v="245"/>
    <n v="7700"/>
    <x v="34"/>
    <x v="191"/>
    <s v="J.C.Staff"/>
    <x v="1"/>
    <s v="Fall"/>
  </r>
  <r>
    <x v="246"/>
    <n v="1100000"/>
    <x v="135"/>
    <x v="90"/>
    <s v="A-1 Pictures"/>
    <x v="2"/>
    <s v="Winter"/>
  </r>
  <r>
    <x v="247"/>
    <n v="574000"/>
    <x v="178"/>
    <x v="192"/>
    <s v="Trigger"/>
    <x v="2"/>
    <s v="Winter"/>
  </r>
  <r>
    <x v="248"/>
    <n v="523000"/>
    <x v="179"/>
    <x v="193"/>
    <s v="Lerche"/>
    <x v="2"/>
    <s v="Winter"/>
  </r>
  <r>
    <x v="249"/>
    <n v="504000"/>
    <x v="180"/>
    <x v="194"/>
    <s v="A-1 Pictures"/>
    <x v="2"/>
    <s v="Winter"/>
  </r>
  <r>
    <x v="250"/>
    <n v="342000"/>
    <x v="181"/>
    <x v="195"/>
    <s v="Ajia-do"/>
    <x v="2"/>
    <s v="Winter"/>
  </r>
  <r>
    <x v="251"/>
    <n v="330000"/>
    <x v="61"/>
    <x v="71"/>
    <s v="J.C.Staff"/>
    <x v="2"/>
    <s v="Winter"/>
  </r>
  <r>
    <x v="252"/>
    <n v="321000"/>
    <x v="182"/>
    <x v="67"/>
    <s v="Shin-Ei Animation, Studio Add"/>
    <x v="2"/>
    <s v="Winter"/>
  </r>
  <r>
    <x v="253"/>
    <n v="305000"/>
    <x v="183"/>
    <x v="196"/>
    <s v="Shin-Ei Animation"/>
    <x v="2"/>
    <s v="Winter"/>
  </r>
  <r>
    <x v="254"/>
    <n v="267000"/>
    <x v="184"/>
    <x v="197"/>
    <s v="Seven Arcs"/>
    <x v="2"/>
    <s v="Winter"/>
  </r>
  <r>
    <x v="255"/>
    <n v="233000"/>
    <x v="182"/>
    <x v="12"/>
    <s v="HORNETS, Studio KAI"/>
    <x v="2"/>
    <s v="Winter"/>
  </r>
  <r>
    <x v="256"/>
    <n v="221000"/>
    <x v="158"/>
    <x v="100"/>
    <s v="Blade, SILVER LINK."/>
    <x v="2"/>
    <s v="Winter"/>
  </r>
  <r>
    <x v="257"/>
    <n v="206000"/>
    <x v="103"/>
    <x v="198"/>
    <s v="Jumondou"/>
    <x v="2"/>
    <s v="Winter"/>
  </r>
  <r>
    <x v="258"/>
    <n v="203000"/>
    <x v="127"/>
    <x v="199"/>
    <s v="Asahi Production"/>
    <x v="2"/>
    <s v="Winter"/>
  </r>
  <r>
    <x v="259"/>
    <n v="190000"/>
    <x v="176"/>
    <x v="200"/>
    <s v="Okuruto Noboru"/>
    <x v="2"/>
    <s v="Winter"/>
  </r>
  <r>
    <x v="260"/>
    <n v="189000"/>
    <x v="52"/>
    <x v="201"/>
    <s v="Yokohama Animation Lab"/>
    <x v="2"/>
    <s v="Winter"/>
  </r>
  <r>
    <x v="261"/>
    <n v="183000"/>
    <x v="120"/>
    <x v="202"/>
    <s v="Studio VOLN"/>
    <x v="2"/>
    <s v="Winter"/>
  </r>
  <r>
    <x v="262"/>
    <n v="155000"/>
    <x v="35"/>
    <x v="170"/>
    <s v="Studio Flad"/>
    <x v="2"/>
    <s v="Winter"/>
  </r>
  <r>
    <x v="263"/>
    <n v="143000"/>
    <x v="177"/>
    <x v="203"/>
    <s v="Staple Entertainment"/>
    <x v="2"/>
    <s v="Winter"/>
  </r>
  <r>
    <x v="264"/>
    <n v="141000"/>
    <x v="93"/>
    <x v="204"/>
    <s v="Studio Massket"/>
    <x v="2"/>
    <s v="Winter"/>
  </r>
  <r>
    <x v="265"/>
    <n v="134000"/>
    <x v="94"/>
    <x v="205"/>
    <s v="Passione"/>
    <x v="2"/>
    <s v="Winter"/>
  </r>
  <r>
    <x v="266"/>
    <n v="117000"/>
    <x v="12"/>
    <x v="206"/>
    <s v="Maho Film"/>
    <x v="2"/>
    <s v="Winter"/>
  </r>
  <r>
    <x v="267"/>
    <n v="116000"/>
    <x v="36"/>
    <x v="174"/>
    <s v="Bones"/>
    <x v="2"/>
    <s v="Winter"/>
  </r>
  <r>
    <x v="268"/>
    <n v="107000"/>
    <x v="160"/>
    <x v="207"/>
    <s v="Shin-Ei Animation, SynergySP"/>
    <x v="2"/>
    <s v="Winter"/>
  </r>
  <r>
    <x v="269"/>
    <n v="96000"/>
    <x v="15"/>
    <x v="148"/>
    <s v="EMT Squared"/>
    <x v="2"/>
    <s v="Winter"/>
  </r>
  <r>
    <x v="270"/>
    <n v="52000"/>
    <x v="164"/>
    <x v="208"/>
    <s v="Studio Hibari"/>
    <x v="2"/>
    <s v="Winter"/>
  </r>
  <r>
    <x v="271"/>
    <n v="962"/>
    <x v="185"/>
    <x v="188"/>
    <s v="Opera House"/>
    <x v="2"/>
    <s v="Winter"/>
  </r>
  <r>
    <x v="272"/>
    <n v="1400000"/>
    <x v="186"/>
    <x v="209"/>
    <s v="Madhouse"/>
    <x v="2"/>
    <s v="Winter"/>
  </r>
  <r>
    <x v="273"/>
    <n v="821000"/>
    <x v="187"/>
    <x v="92"/>
    <s v="OLM, TOHO animation STUDIO"/>
    <x v="2"/>
    <s v="Winter"/>
  </r>
  <r>
    <x v="274"/>
    <n v="455000"/>
    <x v="188"/>
    <x v="115"/>
    <s v="C2C"/>
    <x v="2"/>
    <s v="Winter"/>
  </r>
  <r>
    <x v="275"/>
    <n v="346000"/>
    <x v="189"/>
    <x v="210"/>
    <s v="David Production"/>
    <x v="2"/>
    <s v="Winter"/>
  </r>
  <r>
    <x v="276"/>
    <n v="280000"/>
    <x v="39"/>
    <x v="135"/>
    <s v="SILVER LINK."/>
    <x v="2"/>
    <s v="Winter"/>
  </r>
  <r>
    <x v="277"/>
    <n v="8600"/>
    <x v="19"/>
    <x v="211"/>
    <s v="Fugaku"/>
    <x v="2"/>
    <s v="Winter"/>
  </r>
  <r>
    <x v="278"/>
    <n v="9900"/>
    <x v="190"/>
    <x v="212"/>
    <s v="Red Dog Culture House"/>
    <x v="2"/>
    <s v="Winter"/>
  </r>
  <r>
    <x v="279"/>
    <n v="854"/>
    <x v="170"/>
    <x v="213"/>
    <s v="Felix Film"/>
    <x v="2"/>
    <s v="Winter"/>
  </r>
  <r>
    <x v="280"/>
    <n v="831"/>
    <x v="185"/>
    <x v="214"/>
    <s v="Big Firebird Culture"/>
    <x v="2"/>
    <s v="Winter"/>
  </r>
  <r>
    <x v="281"/>
    <n v="813"/>
    <x v="97"/>
    <x v="215"/>
    <s v="Gear Studio"/>
    <x v="2"/>
    <s v="Winter"/>
  </r>
  <r>
    <x v="282"/>
    <n v="805"/>
    <x v="11"/>
    <x v="216"/>
    <s v="Sparkly Key Animation Studio"/>
    <x v="2"/>
    <s v="Winter"/>
  </r>
  <r>
    <x v="283"/>
    <n v="775"/>
    <x v="77"/>
    <x v="65"/>
    <s v="BYMENT"/>
    <x v="2"/>
    <s v="Winter"/>
  </r>
  <r>
    <x v="284"/>
    <n v="680"/>
    <x v="100"/>
    <x v="217"/>
    <s v="Studio GOONEYS"/>
    <x v="2"/>
    <s v="Winter"/>
  </r>
  <r>
    <x v="285"/>
    <n v="559"/>
    <x v="191"/>
    <x v="54"/>
    <s v="Hololive Production"/>
    <x v="2"/>
    <s v="Winter"/>
  </r>
  <r>
    <x v="286"/>
    <n v="493"/>
    <x v="14"/>
    <x v="110"/>
    <s v="Ruo Hong Culture"/>
    <x v="2"/>
    <s v="Winter"/>
  </r>
  <r>
    <x v="287"/>
    <n v="719"/>
    <x v="139"/>
    <x v="16"/>
    <s v="ILCA"/>
    <x v="2"/>
    <s v="Winter"/>
  </r>
  <r>
    <x v="288"/>
    <n v="313"/>
    <x v="192"/>
    <x v="74"/>
    <s v="DandeLion Animation Studio, Toei Animation"/>
    <x v="2"/>
    <s v="Winter"/>
  </r>
  <r>
    <x v="289"/>
    <n v="833"/>
    <x v="193"/>
    <x v="218"/>
    <s v="Science SARU"/>
    <x v="2"/>
    <s v="Winter"/>
  </r>
  <r>
    <x v="290"/>
    <n v="460"/>
    <x v="150"/>
    <x v="219"/>
    <s v="Shirogumi"/>
    <x v="2"/>
    <s v="Winter"/>
  </r>
  <r>
    <x v="291"/>
    <n v="511000"/>
    <x v="58"/>
    <x v="4"/>
    <s v="Doga Kobo"/>
    <x v="2"/>
    <s v="Summer"/>
  </r>
  <r>
    <x v="292"/>
    <n v="493000"/>
    <x v="116"/>
    <x v="85"/>
    <s v="Doga Kobo"/>
    <x v="2"/>
    <s v="Summer"/>
  </r>
  <r>
    <x v="293"/>
    <n v="327000"/>
    <x v="194"/>
    <x v="85"/>
    <s v="A-1 Pictures"/>
    <x v="2"/>
    <s v="Summer"/>
  </r>
  <r>
    <x v="294"/>
    <n v="290000"/>
    <x v="14"/>
    <x v="220"/>
    <s v="The Answer Studio"/>
    <x v="2"/>
    <s v="Summer"/>
  </r>
  <r>
    <x v="295"/>
    <n v="276000"/>
    <x v="148"/>
    <x v="221"/>
    <s v="Wit Studio"/>
    <x v="2"/>
    <s v="Summer"/>
  </r>
  <r>
    <x v="296"/>
    <n v="235000"/>
    <x v="160"/>
    <x v="222"/>
    <s v="Atelier Pontdarc"/>
    <x v="2"/>
    <s v="Summer"/>
  </r>
  <r>
    <x v="297"/>
    <n v="227000"/>
    <x v="128"/>
    <x v="182"/>
    <s v="Seven Arcs"/>
    <x v="2"/>
    <s v="Summer"/>
  </r>
  <r>
    <x v="298"/>
    <n v="223000"/>
    <x v="47"/>
    <x v="100"/>
    <s v="Nomad"/>
    <x v="2"/>
    <s v="Summer"/>
  </r>
  <r>
    <x v="299"/>
    <n v="215000"/>
    <x v="184"/>
    <x v="3"/>
    <s v="OLM"/>
    <x v="2"/>
    <s v="Summer"/>
  </r>
  <r>
    <x v="300"/>
    <n v="159000"/>
    <x v="167"/>
    <x v="223"/>
    <s v="J.C.Staff"/>
    <x v="2"/>
    <s v="Summer"/>
  </r>
  <r>
    <x v="301"/>
    <n v="139000"/>
    <x v="11"/>
    <x v="110"/>
    <s v="Project No.9"/>
    <x v="2"/>
    <s v="Summer"/>
  </r>
  <r>
    <x v="302"/>
    <n v="471000"/>
    <x v="195"/>
    <x v="181"/>
    <s v="Bones"/>
    <x v="2"/>
    <s v="Summer"/>
  </r>
  <r>
    <x v="303"/>
    <n v="470000"/>
    <x v="196"/>
    <x v="80"/>
    <s v="8bit"/>
    <x v="2"/>
    <s v="Summer"/>
  </r>
  <r>
    <x v="304"/>
    <n v="260000"/>
    <x v="197"/>
    <x v="224"/>
    <s v="Passione"/>
    <x v="2"/>
    <s v="Summer"/>
  </r>
  <r>
    <x v="305"/>
    <n v="981"/>
    <x v="170"/>
    <x v="225"/>
    <s v="Marza Animation Planet"/>
    <x v="2"/>
    <s v="Summer"/>
  </r>
  <r>
    <x v="306"/>
    <n v="940"/>
    <x v="198"/>
    <x v="132"/>
    <s v="Fenz"/>
    <x v="2"/>
    <s v="Summer"/>
  </r>
  <r>
    <x v="307"/>
    <n v="884"/>
    <x v="172"/>
    <x v="226"/>
    <s v="AQUA ARIS"/>
    <x v="2"/>
    <s v="Summer"/>
  </r>
  <r>
    <x v="308"/>
    <n v="878"/>
    <x v="184"/>
    <x v="13"/>
    <s v="Suoyi Technology"/>
    <x v="2"/>
    <s v="Summer"/>
  </r>
  <r>
    <x v="309"/>
    <n v="874"/>
    <x v="199"/>
    <x v="227"/>
    <s v="Sunflowers"/>
    <x v="2"/>
    <s v="Summer"/>
  </r>
  <r>
    <x v="310"/>
    <n v="811"/>
    <x v="173"/>
    <x v="228"/>
    <s v="Oriental Creative Color"/>
    <x v="2"/>
    <s v="Summer"/>
  </r>
  <r>
    <x v="311"/>
    <n v="802"/>
    <x v="174"/>
    <x v="118"/>
    <s v="Oriental Creative Color"/>
    <x v="2"/>
    <s v="Summer"/>
  </r>
  <r>
    <x v="312"/>
    <n v="753"/>
    <x v="59"/>
    <x v="65"/>
    <s v="Sparkly Key Animation Studio"/>
    <x v="2"/>
    <s v="Summer"/>
  </r>
  <r>
    <x v="313"/>
    <n v="742"/>
    <x v="170"/>
    <x v="229"/>
    <s v="Borutong"/>
    <x v="2"/>
    <s v="Summer"/>
  </r>
  <r>
    <x v="314"/>
    <n v="702"/>
    <x v="35"/>
    <x v="65"/>
    <s v="Suoyi Technology"/>
    <x v="2"/>
    <s v="Summer"/>
  </r>
  <r>
    <x v="315"/>
    <n v="578"/>
    <x v="140"/>
    <x v="65"/>
    <s v="Xing Yi Kai Chen"/>
    <x v="2"/>
    <s v="Summer"/>
  </r>
  <r>
    <x v="316"/>
    <n v="480"/>
    <x v="119"/>
    <x v="230"/>
    <s v="Nice Boat Animation"/>
    <x v="2"/>
    <s v="Summer"/>
  </r>
  <r>
    <x v="317"/>
    <n v="393"/>
    <x v="117"/>
    <x v="72"/>
    <s v="ARCUS"/>
    <x v="2"/>
    <s v="Summer"/>
  </r>
  <r>
    <x v="318"/>
    <n v="943"/>
    <x v="200"/>
    <x v="231"/>
    <s v="Guton Animation Studio"/>
    <x v="2"/>
    <s v="Summer"/>
  </r>
  <r>
    <x v="319"/>
    <n v="762000"/>
    <x v="132"/>
    <x v="232"/>
    <s v="ufotable"/>
    <x v="2"/>
    <s v="Spring"/>
  </r>
  <r>
    <x v="320"/>
    <n v="719000"/>
    <x v="80"/>
    <x v="138"/>
    <s v="Production I.G"/>
    <x v="2"/>
    <s v="Spring"/>
  </r>
  <r>
    <x v="321"/>
    <n v="564000"/>
    <x v="6"/>
    <x v="233"/>
    <s v="Studio Bind"/>
    <x v="2"/>
    <s v="Spring"/>
  </r>
  <r>
    <x v="322"/>
    <n v="545000"/>
    <x v="87"/>
    <x v="222"/>
    <s v="Drive"/>
    <x v="2"/>
    <s v="Spring"/>
  </r>
  <r>
    <x v="323"/>
    <n v="457000"/>
    <x v="155"/>
    <x v="166"/>
    <s v="CloverWorks"/>
    <x v="2"/>
    <s v="Spring"/>
  </r>
  <r>
    <x v="324"/>
    <n v="262000"/>
    <x v="167"/>
    <x v="147"/>
    <s v="Tsumugi Akita Animation Lab"/>
    <x v="2"/>
    <s v="Spring"/>
  </r>
  <r>
    <x v="325"/>
    <n v="249000"/>
    <x v="153"/>
    <x v="234"/>
    <s v="J.C.Staff"/>
    <x v="2"/>
    <s v="Spring"/>
  </r>
  <r>
    <x v="326"/>
    <n v="207000"/>
    <x v="201"/>
    <x v="235"/>
    <s v="SILVER LINK."/>
    <x v="2"/>
    <s v="Spring"/>
  </r>
  <r>
    <x v="327"/>
    <n v="193000"/>
    <x v="107"/>
    <x v="148"/>
    <s v="studio MOTHER"/>
    <x v="2"/>
    <s v="Spring"/>
  </r>
  <r>
    <x v="328"/>
    <n v="186000"/>
    <x v="121"/>
    <x v="236"/>
    <s v="Studio Deen"/>
    <x v="2"/>
    <s v="Spring"/>
  </r>
  <r>
    <x v="329"/>
    <n v="150000"/>
    <x v="171"/>
    <x v="237"/>
    <s v="Gekkou"/>
    <x v="2"/>
    <s v="Spring"/>
  </r>
  <r>
    <x v="330"/>
    <n v="133000"/>
    <x v="76"/>
    <x v="238"/>
    <s v="Doga Kobo"/>
    <x v="2"/>
    <s v="Spring"/>
  </r>
  <r>
    <x v="331"/>
    <n v="103000"/>
    <x v="34"/>
    <x v="239"/>
    <s v="LIDENFILMS"/>
    <x v="2"/>
    <s v="Spring"/>
  </r>
  <r>
    <x v="332"/>
    <n v="95000"/>
    <x v="173"/>
    <x v="240"/>
    <s v="Okuruto Noboru"/>
    <x v="2"/>
    <s v="Spring"/>
  </r>
  <r>
    <x v="333"/>
    <n v="832"/>
    <x v="105"/>
    <x v="54"/>
    <s v="Nippon Animation"/>
    <x v="2"/>
    <s v="Spring"/>
  </r>
  <r>
    <x v="334"/>
    <n v="612"/>
    <x v="202"/>
    <x v="54"/>
    <s v="Lesprit, Shin-Ei Animation"/>
    <x v="2"/>
    <s v="Spring"/>
  </r>
  <r>
    <x v="335"/>
    <n v="986"/>
    <x v="92"/>
    <x v="132"/>
    <s v="Fenz"/>
    <x v="2"/>
    <s v="Spring"/>
  </r>
  <r>
    <x v="336"/>
    <n v="982"/>
    <x v="203"/>
    <x v="17"/>
    <s v="Wonder Cat Animation"/>
    <x v="2"/>
    <s v="Spring"/>
  </r>
  <r>
    <x v="337"/>
    <n v="917"/>
    <x v="84"/>
    <x v="145"/>
    <s v="Wulifang, Year Young Culture"/>
    <x v="2"/>
    <s v="Spring"/>
  </r>
  <r>
    <x v="338"/>
    <n v="794"/>
    <x v="95"/>
    <x v="65"/>
    <s v="Xing Yi Kai Chen"/>
    <x v="2"/>
    <s v="Spring"/>
  </r>
  <r>
    <x v="339"/>
    <n v="751"/>
    <x v="53"/>
    <x v="241"/>
    <s v="Wawayu Animation"/>
    <x v="2"/>
    <s v="Spring"/>
  </r>
  <r>
    <x v="340"/>
    <n v="693"/>
    <x v="43"/>
    <x v="174"/>
    <s v="Motion Magic"/>
    <x v="2"/>
    <s v="Spring"/>
  </r>
  <r>
    <x v="341"/>
    <n v="671"/>
    <x v="77"/>
    <x v="229"/>
    <s v="Xing Yi Kai Chen"/>
    <x v="2"/>
    <s v="Spring"/>
  </r>
  <r>
    <x v="342"/>
    <n v="610"/>
    <x v="204"/>
    <x v="242"/>
    <s v="Xing Yi Kai Chen"/>
    <x v="2"/>
    <s v="Spring"/>
  </r>
  <r>
    <x v="343"/>
    <n v="440"/>
    <x v="205"/>
    <x v="243"/>
    <s v="AQUA ARIS"/>
    <x v="2"/>
    <s v="Spring"/>
  </r>
  <r>
    <x v="344"/>
    <n v="428"/>
    <x v="206"/>
    <x v="244"/>
    <s v="Fanworks"/>
    <x v="2"/>
    <s v="Spring"/>
  </r>
  <r>
    <x v="345"/>
    <n v="312"/>
    <x v="7"/>
    <x v="245"/>
    <s v="Gravity Well"/>
    <x v="2"/>
    <s v="Spring"/>
  </r>
  <r>
    <x v="346"/>
    <n v="238000"/>
    <x v="207"/>
    <x v="246"/>
    <s v="Studio DURIAN"/>
    <x v="2"/>
    <s v="Spring"/>
  </r>
  <r>
    <x v="347"/>
    <n v="750"/>
    <x v="67"/>
    <x v="74"/>
    <s v="TOHO animation STUDIO"/>
    <x v="2"/>
    <s v="Spring"/>
  </r>
  <r>
    <x v="348"/>
    <n v="464"/>
    <x v="208"/>
    <x v="247"/>
    <s v="Zexcs"/>
    <x v="2"/>
    <s v="Spring"/>
  </r>
  <r>
    <x v="349"/>
    <n v="445"/>
    <x v="147"/>
    <x v="247"/>
    <s v="Zexcs"/>
    <x v="2"/>
    <s v="Spring"/>
  </r>
  <r>
    <x v="350"/>
    <n v="953000"/>
    <x v="209"/>
    <x v="134"/>
    <s v="Science SARU"/>
    <x v="2"/>
    <s v="Fall"/>
  </r>
  <r>
    <x v="351"/>
    <n v="291000"/>
    <x v="1"/>
    <x v="248"/>
    <s v="Pierrot Films"/>
    <x v="2"/>
    <s v="Fall"/>
  </r>
  <r>
    <x v="352"/>
    <n v="244000"/>
    <x v="142"/>
    <x v="249"/>
    <s v="Akatsuki, Fugaku"/>
    <x v="2"/>
    <s v="Fall"/>
  </r>
  <r>
    <x v="353"/>
    <n v="198000"/>
    <x v="184"/>
    <x v="250"/>
    <s v="TMS Entertainment"/>
    <x v="2"/>
    <s v="Fall"/>
  </r>
  <r>
    <x v="354"/>
    <n v="167000"/>
    <x v="210"/>
    <x v="251"/>
    <s v="MAPPA"/>
    <x v="2"/>
    <s v="Fall"/>
  </r>
  <r>
    <x v="355"/>
    <n v="165000"/>
    <x v="211"/>
    <x v="3"/>
    <s v="Zero-G"/>
    <x v="2"/>
    <s v="Fall"/>
  </r>
  <r>
    <x v="356"/>
    <n v="153000"/>
    <x v="21"/>
    <x v="252"/>
    <s v="Studio Deen"/>
    <x v="2"/>
    <s v="Fall"/>
  </r>
  <r>
    <x v="357"/>
    <n v="138000"/>
    <x v="71"/>
    <x v="220"/>
    <s v="The Answer Studio"/>
    <x v="2"/>
    <s v="Fall"/>
  </r>
  <r>
    <x v="358"/>
    <n v="122000"/>
    <x v="120"/>
    <x v="253"/>
    <s v="Ashi Productions"/>
    <x v="2"/>
    <s v="Fall"/>
  </r>
  <r>
    <x v="359"/>
    <n v="8700"/>
    <x v="212"/>
    <x v="8"/>
    <s v="Unend"/>
    <x v="2"/>
    <s v="Fall"/>
  </r>
  <r>
    <x v="360"/>
    <n v="848"/>
    <x v="164"/>
    <x v="65"/>
    <s v="Ruo Hong Culture"/>
    <x v="2"/>
    <s v="Fall"/>
  </r>
  <r>
    <x v="361"/>
    <n v="804"/>
    <x v="204"/>
    <x v="254"/>
    <s v="Xing Yi Kai Chen"/>
    <x v="2"/>
    <s v="Fall"/>
  </r>
  <r>
    <x v="362"/>
    <n v="786"/>
    <x v="15"/>
    <x v="255"/>
    <s v="Suoyi Technology"/>
    <x v="2"/>
    <s v="Fall"/>
  </r>
  <r>
    <x v="363"/>
    <n v="768"/>
    <x v="67"/>
    <x v="65"/>
    <s v="Shuiniu Dongman"/>
    <x v="2"/>
    <s v="Fall"/>
  </r>
  <r>
    <x v="364"/>
    <n v="696"/>
    <x v="213"/>
    <x v="65"/>
    <s v="Motion Magic"/>
    <x v="2"/>
    <s v="Fall"/>
  </r>
  <r>
    <x v="365"/>
    <n v="655"/>
    <x v="202"/>
    <x v="132"/>
    <s v="AQUA ARIS"/>
    <x v="2"/>
    <s v="Fall"/>
  </r>
  <r>
    <x v="366"/>
    <n v="644"/>
    <x v="26"/>
    <x v="65"/>
    <s v="Tianshi Wenhua"/>
    <x v="2"/>
    <s v="Fall"/>
  </r>
  <r>
    <x v="367"/>
    <n v="552"/>
    <x v="29"/>
    <x v="256"/>
    <s v="Ruo Hong Culture"/>
    <x v="2"/>
    <s v="Fall"/>
  </r>
  <r>
    <x v="368"/>
    <n v="834"/>
    <x v="15"/>
    <x v="257"/>
    <s v="Ajia-do"/>
    <x v="2"/>
    <s v="Fall"/>
  </r>
  <r>
    <x v="369"/>
    <n v="585"/>
    <x v="214"/>
    <x v="111"/>
    <s v="Sunrise"/>
    <x v="2"/>
    <s v="Fall"/>
  </r>
  <r>
    <x v="370"/>
    <n v="844000"/>
    <x v="215"/>
    <x v="258"/>
    <s v="MAPPA"/>
    <x v="3"/>
    <s v="Winter"/>
  </r>
  <r>
    <x v="371"/>
    <n v="505000"/>
    <x v="155"/>
    <x v="85"/>
    <s v="Lay-duce"/>
    <x v="3"/>
    <s v="Winter"/>
  </r>
  <r>
    <x v="372"/>
    <n v="434000"/>
    <x v="216"/>
    <x v="81"/>
    <s v="Project No.9"/>
    <x v="3"/>
    <s v="Winter"/>
  </r>
  <r>
    <x v="373"/>
    <n v="426000"/>
    <x v="20"/>
    <x v="259"/>
    <s v="LIDENFILMS"/>
    <x v="3"/>
    <s v="Winter"/>
  </r>
  <r>
    <x v="374"/>
    <n v="405000"/>
    <x v="156"/>
    <x v="260"/>
    <s v="SILVER LINK."/>
    <x v="3"/>
    <s v="Winter"/>
  </r>
  <r>
    <x v="375"/>
    <n v="357000"/>
    <x v="209"/>
    <x v="261"/>
    <s v="Bones"/>
    <x v="3"/>
    <s v="Winter"/>
  </r>
  <r>
    <x v="376"/>
    <n v="353000"/>
    <x v="188"/>
    <x v="262"/>
    <s v="P.A. Works"/>
    <x v="3"/>
    <s v="Winter"/>
  </r>
  <r>
    <x v="377"/>
    <n v="336000"/>
    <x v="217"/>
    <x v="110"/>
    <s v="A-1 Pictures"/>
    <x v="3"/>
    <s v="Winter"/>
  </r>
  <r>
    <x v="378"/>
    <n v="334000"/>
    <x v="218"/>
    <x v="184"/>
    <s v="MAPPA"/>
    <x v="3"/>
    <s v="Winter"/>
  </r>
  <r>
    <x v="379"/>
    <n v="333000"/>
    <x v="8"/>
    <x v="263"/>
    <s v="OLM"/>
    <x v="3"/>
    <s v="Winter"/>
  </r>
  <r>
    <x v="380"/>
    <n v="292000"/>
    <x v="114"/>
    <x v="3"/>
    <s v="J.C.Staff"/>
    <x v="3"/>
    <s v="Winter"/>
  </r>
  <r>
    <x v="381"/>
    <n v="273000"/>
    <x v="219"/>
    <x v="264"/>
    <s v="SILVER LINK."/>
    <x v="3"/>
    <s v="Winter"/>
  </r>
  <r>
    <x v="382"/>
    <n v="254000"/>
    <x v="116"/>
    <x v="100"/>
    <s v="PINE JAM"/>
    <x v="3"/>
    <s v="Winter"/>
  </r>
  <r>
    <x v="383"/>
    <n v="234000"/>
    <x v="47"/>
    <x v="14"/>
    <s v="Orange"/>
    <x v="3"/>
    <s v="Winter"/>
  </r>
  <r>
    <x v="384"/>
    <n v="229000"/>
    <x v="52"/>
    <x v="265"/>
    <s v="Diomedéa"/>
    <x v="3"/>
    <s v="Winter"/>
  </r>
  <r>
    <x v="385"/>
    <n v="226000"/>
    <x v="141"/>
    <x v="87"/>
    <s v="C2C"/>
    <x v="3"/>
    <s v="Winter"/>
  </r>
  <r>
    <x v="386"/>
    <n v="187000"/>
    <x v="25"/>
    <x v="266"/>
    <s v="Brain's Base"/>
    <x v="3"/>
    <s v="Winter"/>
  </r>
  <r>
    <x v="387"/>
    <n v="178000"/>
    <x v="170"/>
    <x v="267"/>
    <s v="Studio Comet"/>
    <x v="3"/>
    <s v="Winter"/>
  </r>
  <r>
    <x v="388"/>
    <n v="152000"/>
    <x v="13"/>
    <x v="268"/>
    <s v="J.C.Staff"/>
    <x v="3"/>
    <s v="Winter"/>
  </r>
  <r>
    <x v="389"/>
    <n v="142000"/>
    <x v="123"/>
    <x v="269"/>
    <s v="Maho Film"/>
    <x v="3"/>
    <s v="Winter"/>
  </r>
  <r>
    <x v="390"/>
    <n v="929000"/>
    <x v="149"/>
    <x v="270"/>
    <s v="Studio Pierrot"/>
    <x v="3"/>
    <s v="Winter"/>
  </r>
  <r>
    <x v="391"/>
    <n v="887000"/>
    <x v="197"/>
    <x v="271"/>
    <s v="8bit"/>
    <x v="3"/>
    <s v="Winter"/>
  </r>
  <r>
    <x v="392"/>
    <n v="856000"/>
    <x v="80"/>
    <x v="272"/>
    <s v="Nexus"/>
    <x v="3"/>
    <s v="Winter"/>
  </r>
  <r>
    <x v="393"/>
    <n v="814000"/>
    <x v="80"/>
    <x v="181"/>
    <s v="Bones"/>
    <x v="3"/>
    <s v="Winter"/>
  </r>
  <r>
    <x v="394"/>
    <n v="425000"/>
    <x v="76"/>
    <x v="273"/>
    <s v="Atelier Pontdarc"/>
    <x v="3"/>
    <s v="Winter"/>
  </r>
  <r>
    <x v="395"/>
    <n v="338000"/>
    <x v="134"/>
    <x v="49"/>
    <s v="Drive"/>
    <x v="3"/>
    <s v="Winter"/>
  </r>
  <r>
    <x v="396"/>
    <n v="113000"/>
    <x v="220"/>
    <x v="274"/>
    <s v="Studio Pierrot"/>
    <x v="3"/>
    <s v="Winter"/>
  </r>
  <r>
    <x v="397"/>
    <n v="8400"/>
    <x v="219"/>
    <x v="54"/>
    <s v="DLE"/>
    <x v="3"/>
    <s v="Winter"/>
  </r>
  <r>
    <x v="398"/>
    <n v="796"/>
    <x v="107"/>
    <x v="275"/>
    <s v="Rocen"/>
    <x v="3"/>
    <s v="Winter"/>
  </r>
  <r>
    <x v="399"/>
    <n v="765"/>
    <x v="73"/>
    <x v="276"/>
    <s v="BYMENT"/>
    <x v="3"/>
    <s v="Winter"/>
  </r>
  <r>
    <x v="400"/>
    <n v="626"/>
    <x v="102"/>
    <x v="16"/>
    <s v="Noovo, pH Studio"/>
    <x v="3"/>
    <s v="Winter"/>
  </r>
  <r>
    <x v="401"/>
    <n v="624"/>
    <x v="221"/>
    <x v="65"/>
    <s v="BYMENT"/>
    <x v="3"/>
    <s v="Winter"/>
  </r>
  <r>
    <x v="402"/>
    <n v="511"/>
    <x v="222"/>
    <x v="277"/>
    <s v="Studio Elle"/>
    <x v="3"/>
    <s v="Winter"/>
  </r>
  <r>
    <x v="403"/>
    <n v="388"/>
    <x v="223"/>
    <x v="278"/>
    <s v="Echoes"/>
    <x v="3"/>
    <s v="Winter"/>
  </r>
  <r>
    <x v="404"/>
    <n v="747000"/>
    <x v="181"/>
    <x v="233"/>
    <s v="Studio Bind"/>
    <x v="3"/>
    <s v="Summer"/>
  </r>
  <r>
    <x v="405"/>
    <n v="675000"/>
    <x v="196"/>
    <x v="279"/>
    <s v="BUG FILMS"/>
    <x v="3"/>
    <s v="Summer"/>
  </r>
  <r>
    <x v="406"/>
    <n v="408000"/>
    <x v="183"/>
    <x v="248"/>
    <s v="Studio Pierrot"/>
    <x v="3"/>
    <s v="Summer"/>
  </r>
  <r>
    <x v="407"/>
    <n v="380000"/>
    <x v="169"/>
    <x v="96"/>
    <s v="Kinema Citrus"/>
    <x v="3"/>
    <s v="Summer"/>
  </r>
  <r>
    <x v="408"/>
    <n v="257000"/>
    <x v="224"/>
    <x v="11"/>
    <s v="SILVER LINK."/>
    <x v="3"/>
    <s v="Summer"/>
  </r>
  <r>
    <x v="409"/>
    <n v="220000"/>
    <x v="225"/>
    <x v="150"/>
    <s v="TMS Entertainment"/>
    <x v="3"/>
    <s v="Summer"/>
  </r>
  <r>
    <x v="410"/>
    <n v="184000"/>
    <x v="61"/>
    <x v="280"/>
    <s v="Lapin Track"/>
    <x v="3"/>
    <s v="Summer"/>
  </r>
  <r>
    <x v="411"/>
    <n v="176000"/>
    <x v="226"/>
    <x v="281"/>
    <s v="Studio 3Hz"/>
    <x v="3"/>
    <s v="Summer"/>
  </r>
  <r>
    <x v="412"/>
    <n v="128000"/>
    <x v="120"/>
    <x v="282"/>
    <s v="OLM"/>
    <x v="3"/>
    <s v="Summer"/>
  </r>
  <r>
    <x v="413"/>
    <n v="124000"/>
    <x v="73"/>
    <x v="283"/>
    <s v="Gekkou"/>
    <x v="3"/>
    <s v="Summer"/>
  </r>
  <r>
    <x v="414"/>
    <n v="101000"/>
    <x v="83"/>
    <x v="284"/>
    <s v="J.C.Staff"/>
    <x v="3"/>
    <s v="Summer"/>
  </r>
  <r>
    <x v="415"/>
    <n v="170000"/>
    <x v="207"/>
    <x v="285"/>
    <s v="LAN Studio"/>
    <x v="3"/>
    <s v="Summer"/>
  </r>
  <r>
    <x v="416"/>
    <n v="77000"/>
    <x v="227"/>
    <x v="286"/>
    <s v="Seven Arcs"/>
    <x v="3"/>
    <s v="Summer"/>
  </r>
  <r>
    <x v="417"/>
    <n v="997"/>
    <x v="16"/>
    <x v="287"/>
    <s v="Big Firebird Culture"/>
    <x v="3"/>
    <s v="Summer"/>
  </r>
  <r>
    <x v="418"/>
    <n v="993"/>
    <x v="73"/>
    <x v="288"/>
    <s v="Cloud Culture"/>
    <x v="3"/>
    <s v="Summer"/>
  </r>
  <r>
    <x v="419"/>
    <n v="978"/>
    <x v="228"/>
    <x v="58"/>
    <s v="Qzil.la, S.o.K"/>
    <x v="3"/>
    <s v="Summer"/>
  </r>
  <r>
    <x v="420"/>
    <n v="930"/>
    <x v="74"/>
    <x v="289"/>
    <s v="Tang Kirin Culture"/>
    <x v="3"/>
    <s v="Summer"/>
  </r>
  <r>
    <x v="421"/>
    <n v="865"/>
    <x v="147"/>
    <x v="171"/>
    <s v="Studio PuYUKAI"/>
    <x v="3"/>
    <s v="Summer"/>
  </r>
  <r>
    <x v="422"/>
    <n v="754"/>
    <x v="72"/>
    <x v="290"/>
    <s v="Shykeumo Animation Studio"/>
    <x v="3"/>
    <s v="Summer"/>
  </r>
  <r>
    <x v="423"/>
    <n v="686"/>
    <x v="175"/>
    <x v="288"/>
    <s v="Ruo Hong Culture"/>
    <x v="3"/>
    <s v="Summer"/>
  </r>
  <r>
    <x v="424"/>
    <n v="618"/>
    <x v="85"/>
    <x v="288"/>
    <s v="Yi Chen Animation"/>
    <x v="3"/>
    <s v="Summer"/>
  </r>
  <r>
    <x v="425"/>
    <n v="565"/>
    <x v="229"/>
    <x v="72"/>
    <s v="Yostar Pictures"/>
    <x v="3"/>
    <s v="Summer"/>
  </r>
  <r>
    <x v="426"/>
    <n v="245000"/>
    <x v="116"/>
    <x v="233"/>
    <s v="Studio Bind"/>
    <x v="3"/>
    <s v="Summer"/>
  </r>
  <r>
    <x v="427"/>
    <n v="1000000"/>
    <x v="230"/>
    <x v="291"/>
    <s v="Doga Kobo"/>
    <x v="3"/>
    <s v="Spring"/>
  </r>
  <r>
    <x v="428"/>
    <n v="939000"/>
    <x v="231"/>
    <x v="2"/>
    <s v="MAPPA"/>
    <x v="3"/>
    <s v="Spring"/>
  </r>
  <r>
    <x v="429"/>
    <n v="786000"/>
    <x v="127"/>
    <x v="194"/>
    <s v="A-1 Pictures"/>
    <x v="3"/>
    <s v="Spring"/>
  </r>
  <r>
    <x v="430"/>
    <n v="624000"/>
    <x v="2"/>
    <x v="292"/>
    <s v="Production I.G"/>
    <x v="3"/>
    <s v="Spring"/>
  </r>
  <r>
    <x v="431"/>
    <n v="598000"/>
    <x v="232"/>
    <x v="82"/>
    <s v="TMS Entertainment"/>
    <x v="3"/>
    <s v="Spring"/>
  </r>
  <r>
    <x v="432"/>
    <n v="543000"/>
    <x v="76"/>
    <x v="293"/>
    <s v="Madhouse"/>
    <x v="3"/>
    <s v="Spring"/>
  </r>
  <r>
    <x v="433"/>
    <n v="437000"/>
    <x v="181"/>
    <x v="196"/>
    <s v="Shin-Ei Animation"/>
    <x v="3"/>
    <s v="Spring"/>
  </r>
  <r>
    <x v="434"/>
    <n v="389000"/>
    <x v="49"/>
    <x v="132"/>
    <s v="Drive"/>
    <x v="3"/>
    <s v="Spring"/>
  </r>
  <r>
    <x v="435"/>
    <n v="387000"/>
    <x v="97"/>
    <x v="94"/>
    <s v="Millepensee"/>
    <x v="3"/>
    <s v="Spring"/>
  </r>
  <r>
    <x v="436"/>
    <n v="341000"/>
    <x v="134"/>
    <x v="294"/>
    <s v="P.A. Works"/>
    <x v="3"/>
    <s v="Spring"/>
  </r>
  <r>
    <x v="437"/>
    <n v="274000"/>
    <x v="194"/>
    <x v="99"/>
    <s v="LIDENFILMS"/>
    <x v="3"/>
    <s v="Spring"/>
  </r>
  <r>
    <x v="438"/>
    <n v="218000"/>
    <x v="227"/>
    <x v="295"/>
    <s v="Studio Kafka"/>
    <x v="3"/>
    <s v="Spring"/>
  </r>
  <r>
    <x v="439"/>
    <n v="196000"/>
    <x v="182"/>
    <x v="296"/>
    <s v="Typhoon Graphics"/>
    <x v="3"/>
    <s v="Spring"/>
  </r>
  <r>
    <x v="440"/>
    <n v="174000"/>
    <x v="154"/>
    <x v="297"/>
    <s v="J.C.Staff"/>
    <x v="3"/>
    <s v="Spring"/>
  </r>
  <r>
    <x v="441"/>
    <n v="164000"/>
    <x v="173"/>
    <x v="298"/>
    <s v="Tezuka Productions"/>
    <x v="3"/>
    <s v="Spring"/>
  </r>
  <r>
    <x v="442"/>
    <n v="162000"/>
    <x v="65"/>
    <x v="106"/>
    <s v="Wit Studio"/>
    <x v="3"/>
    <s v="Spring"/>
  </r>
  <r>
    <x v="443"/>
    <n v="156000"/>
    <x v="100"/>
    <x v="299"/>
    <s v="LIDENFILMS"/>
    <x v="3"/>
    <s v="Spring"/>
  </r>
  <r>
    <x v="444"/>
    <n v="902"/>
    <x v="233"/>
    <x v="54"/>
    <s v="Lesprit"/>
    <x v="3"/>
    <s v="Spring"/>
  </r>
  <r>
    <x v="445"/>
    <n v="9700"/>
    <x v="234"/>
    <x v="300"/>
    <s v="AQUA ARIS"/>
    <x v="3"/>
    <s v="Spring"/>
  </r>
  <r>
    <x v="446"/>
    <n v="916"/>
    <x v="28"/>
    <x v="65"/>
    <s v="Ruo Hong Culture"/>
    <x v="3"/>
    <s v="Spring"/>
  </r>
  <r>
    <x v="447"/>
    <n v="837"/>
    <x v="235"/>
    <x v="301"/>
    <s v="Ruo Hong Culture"/>
    <x v="3"/>
    <s v="Spring"/>
  </r>
  <r>
    <x v="448"/>
    <n v="736"/>
    <x v="236"/>
    <x v="243"/>
    <s v="AQUA ARIS"/>
    <x v="3"/>
    <s v="Spring"/>
  </r>
  <r>
    <x v="449"/>
    <n v="268000"/>
    <x v="210"/>
    <x v="302"/>
    <s v="Studio Pierrot"/>
    <x v="3"/>
    <s v="Spring"/>
  </r>
  <r>
    <x v="450"/>
    <n v="959"/>
    <x v="237"/>
    <x v="54"/>
    <s v="AQUA ARIS"/>
    <x v="3"/>
    <s v="Spring"/>
  </r>
  <r>
    <x v="451"/>
    <n v="672000"/>
    <x v="63"/>
    <x v="180"/>
    <s v="CloverWorks, Wit Studio"/>
    <x v="3"/>
    <s v="Fall"/>
  </r>
  <r>
    <x v="452"/>
    <n v="528000"/>
    <x v="91"/>
    <x v="272"/>
    <s v="Nexus"/>
    <x v="3"/>
    <s v="Fall"/>
  </r>
  <r>
    <x v="453"/>
    <n v="520000"/>
    <x v="74"/>
    <x v="146"/>
    <s v="Kinema Citrus"/>
    <x v="3"/>
    <s v="Fall"/>
  </r>
  <r>
    <x v="454"/>
    <n v="423000"/>
    <x v="238"/>
    <x v="82"/>
    <s v="TMS Entertainment"/>
    <x v="3"/>
    <s v="Fall"/>
  </r>
  <r>
    <x v="455"/>
    <n v="411000"/>
    <x v="213"/>
    <x v="303"/>
    <s v="LIDENFILMS"/>
    <x v="3"/>
    <s v="Fall"/>
  </r>
  <r>
    <x v="456"/>
    <n v="326000"/>
    <x v="169"/>
    <x v="93"/>
    <s v="Bibury Animation Studios"/>
    <x v="3"/>
    <s v="Fall"/>
  </r>
  <r>
    <x v="457"/>
    <n v="270000"/>
    <x v="31"/>
    <x v="259"/>
    <s v="LIDENFILMS"/>
    <x v="3"/>
    <s v="Fall"/>
  </r>
  <r>
    <x v="458"/>
    <n v="255000"/>
    <x v="204"/>
    <x v="3"/>
    <s v="A.C.G.T."/>
    <x v="3"/>
    <s v="Fall"/>
  </r>
  <r>
    <x v="459"/>
    <n v="230000"/>
    <x v="165"/>
    <x v="81"/>
    <s v="ENGI"/>
    <x v="3"/>
    <s v="Fall"/>
  </r>
  <r>
    <x v="460"/>
    <n v="177000"/>
    <x v="36"/>
    <x v="304"/>
    <s v="Passione"/>
    <x v="3"/>
    <s v="Fall"/>
  </r>
  <r>
    <x v="461"/>
    <n v="145000"/>
    <x v="8"/>
    <x v="305"/>
    <s v="OLM, Sunrise Beyond"/>
    <x v="3"/>
    <s v="Fall"/>
  </r>
  <r>
    <x v="462"/>
    <n v="248000"/>
    <x v="239"/>
    <x v="306"/>
    <s v="Studio M2"/>
    <x v="3"/>
    <s v="Fall"/>
  </r>
  <r>
    <x v="463"/>
    <n v="973"/>
    <x v="123"/>
    <x v="145"/>
    <s v="Village Studio"/>
    <x v="3"/>
    <s v="Fall"/>
  </r>
  <r>
    <x v="464"/>
    <n v="950"/>
    <x v="200"/>
    <x v="287"/>
    <s v="Big Firebird Culture"/>
    <x v="3"/>
    <s v="Fall"/>
  </r>
  <r>
    <x v="465"/>
    <n v="770"/>
    <x v="240"/>
    <x v="129"/>
    <s v="CG Year"/>
    <x v="3"/>
    <s v="Fall"/>
  </r>
  <r>
    <x v="466"/>
    <n v="691"/>
    <x v="11"/>
    <x v="106"/>
    <s v="Dancing CG Studio"/>
    <x v="3"/>
    <s v="Fall"/>
  </r>
  <r>
    <x v="467"/>
    <n v="645"/>
    <x v="32"/>
    <x v="110"/>
    <s v="ORCEN"/>
    <x v="3"/>
    <s v="Fall"/>
  </r>
  <r>
    <x v="468"/>
    <n v="637"/>
    <x v="241"/>
    <x v="307"/>
    <s v="AQUA ARIS"/>
    <x v="3"/>
    <s v="Fall"/>
  </r>
  <r>
    <x v="469"/>
    <n v="634"/>
    <x v="149"/>
    <x v="54"/>
    <s v="SILVER LINK."/>
    <x v="3"/>
    <s v="Fall"/>
  </r>
  <r>
    <x v="470"/>
    <n v="609"/>
    <x v="16"/>
    <x v="308"/>
    <s v="CG Year"/>
    <x v="3"/>
    <s v="Fall"/>
  </r>
  <r>
    <x v="471"/>
    <n v="462"/>
    <x v="242"/>
    <x v="65"/>
    <s v="Rocen"/>
    <x v="3"/>
    <s v="Fall"/>
  </r>
  <r>
    <x v="472"/>
    <n v="461"/>
    <x v="243"/>
    <x v="132"/>
    <s v="TRCARTOON"/>
    <x v="3"/>
    <s v="Fall"/>
  </r>
  <r>
    <x v="473"/>
    <n v="247000"/>
    <x v="188"/>
    <x v="180"/>
    <s v="CloverWorks, Wit Studio"/>
    <x v="3"/>
    <s v="Fall"/>
  </r>
  <r>
    <x v="474"/>
    <n v="1700000"/>
    <x v="183"/>
    <x v="232"/>
    <s v="ufotable"/>
    <x v="4"/>
    <s v="Winter"/>
  </r>
  <r>
    <x v="475"/>
    <n v="1500000"/>
    <x v="244"/>
    <x v="309"/>
    <s v="MAPPA"/>
    <x v="4"/>
    <s v="Winter"/>
  </r>
  <r>
    <x v="476"/>
    <n v="1300000"/>
    <x v="195"/>
    <x v="136"/>
    <s v="CloverWorks"/>
    <x v="4"/>
    <s v="Winter"/>
  </r>
  <r>
    <x v="477"/>
    <n v="459000"/>
    <x v="86"/>
    <x v="17"/>
    <s v="asread., studio MOTHER"/>
    <x v="4"/>
    <s v="Winter"/>
  </r>
  <r>
    <x v="478"/>
    <n v="343000"/>
    <x v="3"/>
    <x v="310"/>
    <s v="Bones"/>
    <x v="4"/>
    <s v="Winter"/>
  </r>
  <r>
    <x v="479"/>
    <n v="296000"/>
    <x v="212"/>
    <x v="13"/>
    <s v="J.C.Staff"/>
    <x v="4"/>
    <s v="Winter"/>
  </r>
  <r>
    <x v="480"/>
    <n v="278000"/>
    <x v="103"/>
    <x v="69"/>
    <s v="OZ"/>
    <x v="4"/>
    <s v="Winter"/>
  </r>
  <r>
    <x v="481"/>
    <n v="236000"/>
    <x v="3"/>
    <x v="311"/>
    <s v="Studio Deen"/>
    <x v="4"/>
    <s v="Winter"/>
  </r>
  <r>
    <x v="482"/>
    <n v="214000"/>
    <x v="245"/>
    <x v="312"/>
    <s v="CloverWorks"/>
    <x v="4"/>
    <s v="Winter"/>
  </r>
  <r>
    <x v="483"/>
    <n v="211000"/>
    <x v="246"/>
    <x v="100"/>
    <s v="Shin-Ei Animation"/>
    <x v="4"/>
    <s v="Winter"/>
  </r>
  <r>
    <x v="484"/>
    <n v="131000"/>
    <x v="137"/>
    <x v="313"/>
    <s v="A.C.G.T."/>
    <x v="4"/>
    <s v="Winter"/>
  </r>
  <r>
    <x v="485"/>
    <n v="752000"/>
    <x v="247"/>
    <x v="106"/>
    <s v="Wit Studio"/>
    <x v="4"/>
    <s v="Winter"/>
  </r>
  <r>
    <x v="486"/>
    <n v="636000"/>
    <x v="113"/>
    <x v="314"/>
    <s v="A-1 Pictures"/>
    <x v="4"/>
    <s v="Winter"/>
  </r>
  <r>
    <x v="487"/>
    <n v="418000"/>
    <x v="208"/>
    <x v="315"/>
    <s v="Signal.MD"/>
    <x v="4"/>
    <s v="Winter"/>
  </r>
  <r>
    <x v="488"/>
    <n v="283000"/>
    <x v="67"/>
    <x v="248"/>
    <s v="Bridge"/>
    <x v="4"/>
    <s v="Winter"/>
  </r>
  <r>
    <x v="489"/>
    <n v="204000"/>
    <x v="232"/>
    <x v="316"/>
    <s v="LIDENFILMS"/>
    <x v="4"/>
    <s v="Winter"/>
  </r>
  <r>
    <x v="490"/>
    <n v="970"/>
    <x v="55"/>
    <x v="158"/>
    <s v="Production +h."/>
    <x v="4"/>
    <s v="Winter"/>
  </r>
  <r>
    <x v="491"/>
    <n v="927"/>
    <x v="248"/>
    <x v="317"/>
    <s v="AION Studio"/>
    <x v="4"/>
    <s v="Winter"/>
  </r>
  <r>
    <x v="492"/>
    <n v="861"/>
    <x v="249"/>
    <x v="318"/>
    <s v="Imagica Digitalscape"/>
    <x v="4"/>
    <s v="Winter"/>
  </r>
  <r>
    <x v="493"/>
    <n v="851"/>
    <x v="73"/>
    <x v="227"/>
    <s v="Infinity Animations"/>
    <x v="4"/>
    <s v="Winter"/>
  </r>
  <r>
    <x v="494"/>
    <n v="715"/>
    <x v="250"/>
    <x v="72"/>
    <s v="asurafilm"/>
    <x v="4"/>
    <s v="Winter"/>
  </r>
  <r>
    <x v="495"/>
    <n v="706"/>
    <x v="251"/>
    <x v="54"/>
    <s v="TRCARTOON"/>
    <x v="4"/>
    <s v="Winter"/>
  </r>
  <r>
    <x v="496"/>
    <n v="606"/>
    <x v="252"/>
    <x v="319"/>
    <s v="AQUA ARIS"/>
    <x v="4"/>
    <s v="Winter"/>
  </r>
  <r>
    <x v="497"/>
    <n v="791000"/>
    <x v="253"/>
    <x v="320"/>
    <s v="Lerche"/>
    <x v="4"/>
    <s v="Summer"/>
  </r>
  <r>
    <x v="498"/>
    <n v="765000"/>
    <x v="68"/>
    <x v="140"/>
    <s v="LIDENFILMS"/>
    <x v="4"/>
    <s v="Summer"/>
  </r>
  <r>
    <x v="499"/>
    <n v="631000"/>
    <x v="63"/>
    <x v="182"/>
    <s v="Madhouse"/>
    <x v="4"/>
    <s v="Summer"/>
  </r>
  <r>
    <x v="500"/>
    <n v="591000"/>
    <x v="5"/>
    <x v="60"/>
    <s v="A-1 Pictures"/>
    <x v="4"/>
    <s v="Summer"/>
  </r>
  <r>
    <x v="501"/>
    <n v="536000"/>
    <x v="254"/>
    <x v="321"/>
    <s v="Kinema Citrus"/>
    <x v="4"/>
    <s v="Summer"/>
  </r>
  <r>
    <x v="502"/>
    <n v="524000"/>
    <x v="14"/>
    <x v="281"/>
    <s v="Studio 3Hz"/>
    <x v="4"/>
    <s v="Summer"/>
  </r>
  <r>
    <x v="503"/>
    <n v="473000"/>
    <x v="157"/>
    <x v="150"/>
    <s v="TMS Entertainment"/>
    <x v="4"/>
    <s v="Summer"/>
  </r>
  <r>
    <x v="504"/>
    <n v="406000"/>
    <x v="76"/>
    <x v="3"/>
    <s v="J.C.Staff"/>
    <x v="4"/>
    <s v="Summer"/>
  </r>
  <r>
    <x v="505"/>
    <n v="272000"/>
    <x v="255"/>
    <x v="322"/>
    <s v="Diomedéa"/>
    <x v="4"/>
    <s v="Summer"/>
  </r>
  <r>
    <x v="506"/>
    <n v="261000"/>
    <x v="189"/>
    <x v="316"/>
    <s v="feel., Gaina"/>
    <x v="4"/>
    <s v="Summer"/>
  </r>
  <r>
    <x v="507"/>
    <n v="252000"/>
    <x v="72"/>
    <x v="182"/>
    <s v="Revoroot"/>
    <x v="4"/>
    <s v="Summer"/>
  </r>
  <r>
    <x v="508"/>
    <n v="140000"/>
    <x v="132"/>
    <x v="323"/>
    <s v="CloverWorks"/>
    <x v="4"/>
    <s v="Summer"/>
  </r>
  <r>
    <x v="509"/>
    <n v="351000"/>
    <x v="256"/>
    <x v="324"/>
    <s v="David Production"/>
    <x v="4"/>
    <s v="Summer"/>
  </r>
  <r>
    <x v="510"/>
    <n v="9400"/>
    <x v="135"/>
    <x v="65"/>
    <s v="B.CMAY PICTURES"/>
    <x v="4"/>
    <s v="Summer"/>
  </r>
  <r>
    <x v="511"/>
    <n v="5600"/>
    <x v="182"/>
    <x v="65"/>
    <s v="Cloud Art"/>
    <x v="4"/>
    <s v="Summer"/>
  </r>
  <r>
    <x v="512"/>
    <n v="897"/>
    <x v="108"/>
    <x v="325"/>
    <s v="Aurora Animation"/>
    <x v="4"/>
    <s v="Summer"/>
  </r>
  <r>
    <x v="513"/>
    <n v="879"/>
    <x v="176"/>
    <x v="290"/>
    <s v="Studio Moriken"/>
    <x v="4"/>
    <s v="Summer"/>
  </r>
  <r>
    <x v="514"/>
    <n v="630"/>
    <x v="32"/>
    <x v="65"/>
    <s v="BYMENT"/>
    <x v="4"/>
    <s v="Summer"/>
  </r>
  <r>
    <x v="515"/>
    <n v="581"/>
    <x v="149"/>
    <x v="72"/>
    <s v="Studio Daisy"/>
    <x v="4"/>
    <s v="Summer"/>
  </r>
  <r>
    <x v="516"/>
    <n v="518"/>
    <x v="72"/>
    <x v="326"/>
    <s v="CHOCOLATE, YURUPPE Inc."/>
    <x v="4"/>
    <s v="Summer"/>
  </r>
  <r>
    <x v="517"/>
    <n v="250000"/>
    <x v="190"/>
    <x v="327"/>
    <s v="CLAP"/>
    <x v="4"/>
    <s v="Summer"/>
  </r>
  <r>
    <x v="518"/>
    <n v="383000"/>
    <x v="197"/>
    <x v="82"/>
    <s v="TMS Entertainment"/>
    <x v="4"/>
    <s v="Summer"/>
  </r>
  <r>
    <x v="519"/>
    <n v="733"/>
    <x v="41"/>
    <x v="247"/>
    <s v="Zexcs"/>
    <x v="4"/>
    <s v="Summer"/>
  </r>
  <r>
    <x v="520"/>
    <n v="1900000"/>
    <x v="209"/>
    <x v="328"/>
    <s v="CloverWorks, Wit Studio"/>
    <x v="4"/>
    <s v="Spring"/>
  </r>
  <r>
    <x v="521"/>
    <n v="863000"/>
    <x v="257"/>
    <x v="329"/>
    <s v="DR Movie, Kinema Citrus"/>
    <x v="4"/>
    <s v="Spring"/>
  </r>
  <r>
    <x v="522"/>
    <n v="554000"/>
    <x v="190"/>
    <x v="56"/>
    <s v="OLM"/>
    <x v="4"/>
    <s v="Spring"/>
  </r>
  <r>
    <x v="523"/>
    <n v="489000"/>
    <x v="196"/>
    <x v="330"/>
    <s v="Okuruto Noboru"/>
    <x v="4"/>
    <s v="Spring"/>
  </r>
  <r>
    <x v="524"/>
    <n v="392000"/>
    <x v="12"/>
    <x v="100"/>
    <s v="Felix Film"/>
    <x v="4"/>
    <s v="Spring"/>
  </r>
  <r>
    <x v="525"/>
    <n v="372000"/>
    <x v="86"/>
    <x v="67"/>
    <s v="HORNETS, Studio KAI"/>
    <x v="4"/>
    <s v="Spring"/>
  </r>
  <r>
    <x v="526"/>
    <n v="354000"/>
    <x v="258"/>
    <x v="97"/>
    <s v="EMT Squared"/>
    <x v="4"/>
    <s v="Spring"/>
  </r>
  <r>
    <x v="527"/>
    <n v="339000"/>
    <x v="243"/>
    <x v="304"/>
    <s v="Blade, SILVER LINK."/>
    <x v="4"/>
    <s v="Spring"/>
  </r>
  <r>
    <x v="528"/>
    <n v="329000"/>
    <x v="231"/>
    <x v="331"/>
    <s v="P.A. Works"/>
    <x v="4"/>
    <s v="Spring"/>
  </r>
  <r>
    <x v="529"/>
    <n v="289000"/>
    <x v="259"/>
    <x v="332"/>
    <s v="Geek Toys"/>
    <x v="4"/>
    <s v="Spring"/>
  </r>
  <r>
    <x v="530"/>
    <n v="975"/>
    <x v="251"/>
    <x v="229"/>
    <s v="Ruo Hong Culture"/>
    <x v="4"/>
    <s v="Spring"/>
  </r>
  <r>
    <x v="531"/>
    <n v="898"/>
    <x v="260"/>
    <x v="72"/>
    <s v="Gravity Well, Windy Studio"/>
    <x v="4"/>
    <s v="Spring"/>
  </r>
  <r>
    <x v="532"/>
    <n v="862"/>
    <x v="139"/>
    <x v="318"/>
    <s v="Ashi Productions"/>
    <x v="4"/>
    <s v="Spring"/>
  </r>
  <r>
    <x v="533"/>
    <n v="776"/>
    <x v="184"/>
    <x v="129"/>
    <s v="CG Year"/>
    <x v="4"/>
    <s v="Spring"/>
  </r>
  <r>
    <x v="534"/>
    <n v="299"/>
    <x v="261"/>
    <x v="333"/>
    <s v="LIDENFILMS"/>
    <x v="4"/>
    <s v="Spring"/>
  </r>
  <r>
    <x v="535"/>
    <n v="317000"/>
    <x v="31"/>
    <x v="334"/>
    <s v="Bibury Animation Studios"/>
    <x v="4"/>
    <s v="Spring"/>
  </r>
  <r>
    <x v="536"/>
    <n v="459"/>
    <x v="108"/>
    <x v="132"/>
    <s v="Orange"/>
    <x v="4"/>
    <s v="Spring"/>
  </r>
  <r>
    <x v="537"/>
    <n v="399"/>
    <x v="262"/>
    <x v="335"/>
    <s v="Orange"/>
    <x v="4"/>
    <s v="Spring"/>
  </r>
  <r>
    <x v="538"/>
    <n v="853000"/>
    <x v="113"/>
    <x v="336"/>
    <s v="Bones"/>
    <x v="4"/>
    <s v="Fall"/>
  </r>
  <r>
    <x v="539"/>
    <n v="783000"/>
    <x v="4"/>
    <x v="337"/>
    <s v="CloverWorks"/>
    <x v="4"/>
    <s v="Fall"/>
  </r>
  <r>
    <x v="540"/>
    <n v="698000"/>
    <x v="263"/>
    <x v="248"/>
    <s v="Studio Pierrot"/>
    <x v="4"/>
    <s v="Fall"/>
  </r>
  <r>
    <x v="541"/>
    <n v="251000"/>
    <x v="199"/>
    <x v="338"/>
    <s v="ENGI"/>
    <x v="4"/>
    <s v="Fall"/>
  </r>
  <r>
    <x v="542"/>
    <n v="302000"/>
    <x v="264"/>
    <x v="324"/>
    <s v="David Production"/>
    <x v="4"/>
    <s v="Fall"/>
  </r>
  <r>
    <x v="543"/>
    <n v="498000"/>
    <x v="265"/>
    <x v="339"/>
    <s v="CoMix Wave Films"/>
    <x v="4"/>
    <s v="Fall"/>
  </r>
  <r>
    <x v="544"/>
    <n v="275"/>
    <x v="205"/>
    <x v="335"/>
    <s v="Yamiken"/>
    <x v="4"/>
    <s v="Fall"/>
  </r>
  <r>
    <x v="545"/>
    <n v="2300000"/>
    <x v="266"/>
    <x v="309"/>
    <s v="MAPPA"/>
    <x v="5"/>
    <s v="Winter"/>
  </r>
  <r>
    <x v="546"/>
    <n v="1600000"/>
    <x v="44"/>
    <x v="99"/>
    <s v="CloverWorks"/>
    <x v="5"/>
    <s v="Winter"/>
  </r>
  <r>
    <x v="547"/>
    <n v="1200000"/>
    <x v="232"/>
    <x v="82"/>
    <s v="TMS Entertainment"/>
    <x v="5"/>
    <s v="Winter"/>
  </r>
  <r>
    <x v="548"/>
    <n v="997000"/>
    <x v="267"/>
    <x v="340"/>
    <s v="CloverWorks"/>
    <x v="5"/>
    <s v="Winter"/>
  </r>
  <r>
    <x v="549"/>
    <n v="831000"/>
    <x v="116"/>
    <x v="341"/>
    <s v="CloverWorks"/>
    <x v="5"/>
    <s v="Winter"/>
  </r>
  <r>
    <x v="550"/>
    <n v="809000"/>
    <x v="268"/>
    <x v="334"/>
    <s v="Bibury Animation Studios"/>
    <x v="5"/>
    <s v="Winter"/>
  </r>
  <r>
    <x v="551"/>
    <n v="629000"/>
    <x v="268"/>
    <x v="342"/>
    <s v="Bones"/>
    <x v="5"/>
    <s v="Winter"/>
  </r>
  <r>
    <x v="552"/>
    <n v="506000"/>
    <x v="8"/>
    <x v="108"/>
    <s v="Millepensee"/>
    <x v="5"/>
    <s v="Winter"/>
  </r>
  <r>
    <x v="553"/>
    <n v="494000"/>
    <x v="76"/>
    <x v="343"/>
    <s v="Orange"/>
    <x v="5"/>
    <s v="Winter"/>
  </r>
  <r>
    <x v="554"/>
    <n v="477000"/>
    <x v="16"/>
    <x v="47"/>
    <s v="Studio Deen"/>
    <x v="5"/>
    <s v="Winter"/>
  </r>
  <r>
    <x v="555"/>
    <n v="440000"/>
    <x v="19"/>
    <x v="137"/>
    <s v="Project No.9"/>
    <x v="5"/>
    <s v="Winter"/>
  </r>
  <r>
    <x v="556"/>
    <n v="438000"/>
    <x v="34"/>
    <x v="344"/>
    <s v="Okuruto Noboru"/>
    <x v="5"/>
    <s v="Winter"/>
  </r>
  <r>
    <x v="557"/>
    <n v="420000"/>
    <x v="25"/>
    <x v="345"/>
    <s v="Ajia-do"/>
    <x v="5"/>
    <s v="Winter"/>
  </r>
  <r>
    <x v="558"/>
    <n v="320000"/>
    <x v="72"/>
    <x v="122"/>
    <s v="LIDENFILMS"/>
    <x v="5"/>
    <s v="Winter"/>
  </r>
  <r>
    <x v="559"/>
    <n v="300000"/>
    <x v="10"/>
    <x v="346"/>
    <s v="David Production"/>
    <x v="5"/>
    <s v="Winter"/>
  </r>
  <r>
    <x v="560"/>
    <n v="253000"/>
    <x v="57"/>
    <x v="347"/>
    <s v="C-Station"/>
    <x v="5"/>
    <s v="Winter"/>
  </r>
  <r>
    <x v="561"/>
    <n v="3000000"/>
    <x v="264"/>
    <x v="348"/>
    <s v="MAPPA"/>
    <x v="5"/>
    <s v="Winter"/>
  </r>
  <r>
    <x v="562"/>
    <n v="303000"/>
    <x v="213"/>
    <x v="349"/>
    <s v="Passione"/>
    <x v="5"/>
    <s v="Winter"/>
  </r>
  <r>
    <x v="563"/>
    <n v="379000"/>
    <x v="226"/>
    <x v="350"/>
    <s v="Zero-G"/>
    <x v="5"/>
    <s v="Winter"/>
  </r>
  <r>
    <x v="564"/>
    <n v="899"/>
    <x v="97"/>
    <x v="145"/>
    <s v="Suoyi Technology"/>
    <x v="5"/>
    <s v="Winter"/>
  </r>
  <r>
    <x v="565"/>
    <n v="845"/>
    <x v="269"/>
    <x v="60"/>
    <s v="IMAGICA Lab."/>
    <x v="5"/>
    <s v="Winter"/>
  </r>
  <r>
    <x v="566"/>
    <n v="809"/>
    <x v="129"/>
    <x v="351"/>
    <s v="CoMix Wave Films"/>
    <x v="5"/>
    <s v="Winter"/>
  </r>
  <r>
    <x v="567"/>
    <n v="807"/>
    <x v="270"/>
    <x v="74"/>
    <s v="Jichitai Anime"/>
    <x v="5"/>
    <s v="Winter"/>
  </r>
  <r>
    <x v="568"/>
    <n v="788"/>
    <x v="271"/>
    <x v="173"/>
    <s v="Gathering"/>
    <x v="5"/>
    <s v="Winter"/>
  </r>
  <r>
    <x v="569"/>
    <n v="748"/>
    <x v="23"/>
    <x v="352"/>
    <s v="Flat Studio"/>
    <x v="5"/>
    <s v="Winter"/>
  </r>
  <r>
    <x v="570"/>
    <n v="711"/>
    <x v="110"/>
    <x v="72"/>
    <s v="Geek Toys"/>
    <x v="5"/>
    <s v="Winter"/>
  </r>
  <r>
    <x v="571"/>
    <n v="471"/>
    <x v="40"/>
    <x v="353"/>
    <s v="Studio KAI"/>
    <x v="5"/>
    <s v="Winter"/>
  </r>
  <r>
    <x v="572"/>
    <n v="904"/>
    <x v="272"/>
    <x v="354"/>
    <s v="IMAGICA Lab."/>
    <x v="5"/>
    <s v="Winter"/>
  </r>
  <r>
    <x v="573"/>
    <n v="903000"/>
    <x v="60"/>
    <x v="80"/>
    <s v="8bit"/>
    <x v="5"/>
    <s v="Summer"/>
  </r>
  <r>
    <x v="574"/>
    <n v="610000"/>
    <x v="181"/>
    <x v="355"/>
    <s v="Kyoto Animation"/>
    <x v="5"/>
    <s v="Summer"/>
  </r>
  <r>
    <x v="575"/>
    <n v="452000"/>
    <x v="136"/>
    <x v="250"/>
    <s v="TMS Entertainment"/>
    <x v="5"/>
    <s v="Summer"/>
  </r>
  <r>
    <x v="576"/>
    <n v="422000"/>
    <x v="192"/>
    <x v="11"/>
    <s v="Tezuka Productions"/>
    <x v="5"/>
    <s v="Summer"/>
  </r>
  <r>
    <x v="577"/>
    <n v="410000"/>
    <x v="85"/>
    <x v="356"/>
    <s v="ENGI"/>
    <x v="5"/>
    <s v="Summer"/>
  </r>
  <r>
    <x v="578"/>
    <n v="381000"/>
    <x v="10"/>
    <x v="357"/>
    <s v="feel."/>
    <x v="5"/>
    <s v="Summer"/>
  </r>
  <r>
    <x v="579"/>
    <n v="282000"/>
    <x v="273"/>
    <x v="284"/>
    <s v="J.C.Staff"/>
    <x v="5"/>
    <s v="Summer"/>
  </r>
  <r>
    <x v="580"/>
    <n v="256000"/>
    <x v="213"/>
    <x v="300"/>
    <s v="SILVER LINK."/>
    <x v="5"/>
    <s v="Summer"/>
  </r>
  <r>
    <x v="581"/>
    <n v="210000"/>
    <x v="163"/>
    <x v="358"/>
    <s v="MAPPA"/>
    <x v="5"/>
    <s v="Summer"/>
  </r>
  <r>
    <x v="582"/>
    <n v="202000"/>
    <x v="175"/>
    <x v="359"/>
    <s v="Asahi Production"/>
    <x v="5"/>
    <s v="Summer"/>
  </r>
  <r>
    <x v="583"/>
    <n v="993000"/>
    <x v="152"/>
    <x v="49"/>
    <s v="Brain's Base"/>
    <x v="5"/>
    <s v="Summer"/>
  </r>
  <r>
    <x v="584"/>
    <n v="371000"/>
    <x v="132"/>
    <x v="154"/>
    <s v="Bandai Namco Pictures"/>
    <x v="5"/>
    <s v="Summer"/>
  </r>
  <r>
    <x v="585"/>
    <n v="995"/>
    <x v="85"/>
    <x v="65"/>
    <s v="LX Animation Studio"/>
    <x v="5"/>
    <s v="Summer"/>
  </r>
  <r>
    <x v="586"/>
    <n v="905"/>
    <x v="147"/>
    <x v="360"/>
    <s v="Shuka"/>
    <x v="5"/>
    <s v="Summer"/>
  </r>
  <r>
    <x v="587"/>
    <n v="885"/>
    <x v="9"/>
    <x v="132"/>
    <s v="717 Animation Studio"/>
    <x v="5"/>
    <s v="Summer"/>
  </r>
  <r>
    <x v="588"/>
    <n v="881"/>
    <x v="228"/>
    <x v="361"/>
    <s v="Sharefun Studio"/>
    <x v="5"/>
    <s v="Summer"/>
  </r>
  <r>
    <x v="589"/>
    <n v="844"/>
    <x v="126"/>
    <x v="78"/>
    <s v="SJYNEXCUS"/>
    <x v="5"/>
    <s v="Summer"/>
  </r>
  <r>
    <x v="590"/>
    <n v="808"/>
    <x v="272"/>
    <x v="54"/>
    <s v="Gambit"/>
    <x v="5"/>
    <s v="Summer"/>
  </r>
  <r>
    <x v="591"/>
    <n v="792"/>
    <x v="260"/>
    <x v="3"/>
    <s v="Tong Mingxuan Studio"/>
    <x v="5"/>
    <s v="Summer"/>
  </r>
  <r>
    <x v="592"/>
    <n v="785"/>
    <x v="274"/>
    <x v="362"/>
    <s v="Volca"/>
    <x v="5"/>
    <s v="Summer"/>
  </r>
  <r>
    <x v="593"/>
    <n v="522"/>
    <x v="275"/>
    <x v="54"/>
    <s v="Yostar Pictures"/>
    <x v="5"/>
    <s v="Summer"/>
  </r>
  <r>
    <x v="594"/>
    <n v="265000"/>
    <x v="10"/>
    <x v="363"/>
    <s v="Signal.MD, Sublimation"/>
    <x v="5"/>
    <s v="Summer"/>
  </r>
  <r>
    <x v="595"/>
    <n v="963000"/>
    <x v="152"/>
    <x v="314"/>
    <s v="A-1 Pictures"/>
    <x v="5"/>
    <s v="Spring"/>
  </r>
  <r>
    <x v="596"/>
    <n v="883000"/>
    <x v="21"/>
    <x v="364"/>
    <s v="Telecom Animation Film"/>
    <x v="5"/>
    <s v="Spring"/>
  </r>
  <r>
    <x v="597"/>
    <n v="671000"/>
    <x v="255"/>
    <x v="365"/>
    <s v="Project No.9"/>
    <x v="5"/>
    <s v="Spring"/>
  </r>
  <r>
    <x v="598"/>
    <n v="606000"/>
    <x v="104"/>
    <x v="366"/>
    <s v="Wit Studio"/>
    <x v="5"/>
    <s v="Spring"/>
  </r>
  <r>
    <x v="599"/>
    <n v="560000"/>
    <x v="276"/>
    <x v="367"/>
    <s v="TMS Entertainment"/>
    <x v="5"/>
    <s v="Spring"/>
  </r>
  <r>
    <x v="600"/>
    <n v="507000"/>
    <x v="277"/>
    <x v="368"/>
    <s v="OLM, P.I.C.S."/>
    <x v="5"/>
    <s v="Spring"/>
  </r>
  <r>
    <x v="601"/>
    <n v="464000"/>
    <x v="226"/>
    <x v="369"/>
    <s v="Okuruto Noboru, Tezuka Productions"/>
    <x v="5"/>
    <s v="Spring"/>
  </r>
  <r>
    <x v="602"/>
    <n v="447000"/>
    <x v="278"/>
    <x v="168"/>
    <s v="Revoroot"/>
    <x v="5"/>
    <s v="Spring"/>
  </r>
  <r>
    <x v="603"/>
    <n v="115000"/>
    <x v="161"/>
    <x v="370"/>
    <s v="Zexcs"/>
    <x v="5"/>
    <s v="Spring"/>
  </r>
  <r>
    <x v="604"/>
    <n v="596"/>
    <x v="279"/>
    <x v="54"/>
    <s v="FIREBUG"/>
    <x v="5"/>
    <s v="Spring"/>
  </r>
  <r>
    <x v="605"/>
    <n v="474000"/>
    <x v="255"/>
    <x v="143"/>
    <s v="J.C.Staff"/>
    <x v="5"/>
    <s v="Spring"/>
  </r>
  <r>
    <x v="606"/>
    <n v="926"/>
    <x v="280"/>
    <x v="371"/>
    <s v="OLM"/>
    <x v="5"/>
    <s v="Spring"/>
  </r>
  <r>
    <x v="607"/>
    <n v="780"/>
    <x v="148"/>
    <x v="275"/>
    <s v="Rocen"/>
    <x v="5"/>
    <s v="Spring"/>
  </r>
  <r>
    <x v="608"/>
    <n v="717"/>
    <x v="94"/>
    <x v="110"/>
    <s v="D.ROCK-ART"/>
    <x v="5"/>
    <s v="Spring"/>
  </r>
  <r>
    <x v="609"/>
    <n v="670"/>
    <x v="281"/>
    <x v="372"/>
    <s v="Rocen"/>
    <x v="5"/>
    <s v="Spring"/>
  </r>
  <r>
    <x v="610"/>
    <n v="337"/>
    <x v="108"/>
    <x v="72"/>
    <s v="VCRWORKS"/>
    <x v="5"/>
    <s v="Spring"/>
  </r>
  <r>
    <x v="611"/>
    <n v="158000"/>
    <x v="282"/>
    <x v="341"/>
    <s v="CloverWorks"/>
    <x v="5"/>
    <s v="Spring"/>
  </r>
  <r>
    <x v="612"/>
    <n v="969000"/>
    <x v="87"/>
    <x v="232"/>
    <s v="ufotable"/>
    <x v="5"/>
    <s v="Fall"/>
  </r>
  <r>
    <x v="613"/>
    <n v="632000"/>
    <x v="54"/>
    <x v="373"/>
    <s v="SILVER LINK., Studio Palette"/>
    <x v="5"/>
    <s v="Fall"/>
  </r>
  <r>
    <x v="614"/>
    <n v="569000"/>
    <x v="107"/>
    <x v="374"/>
    <s v="Madhouse, MAPPA"/>
    <x v="5"/>
    <s v="Fall"/>
  </r>
  <r>
    <x v="615"/>
    <n v="527000"/>
    <x v="131"/>
    <x v="375"/>
    <s v="Seven Arcs"/>
    <x v="5"/>
    <s v="Fall"/>
  </r>
  <r>
    <x v="616"/>
    <n v="388000"/>
    <x v="67"/>
    <x v="170"/>
    <s v="Studio Flad, Wolfsbane"/>
    <x v="5"/>
    <s v="Fall"/>
  </r>
  <r>
    <x v="617"/>
    <n v="240000"/>
    <x v="50"/>
    <x v="376"/>
    <s v="Hotline"/>
    <x v="5"/>
    <s v="Fall"/>
  </r>
  <r>
    <x v="618"/>
    <n v="608000"/>
    <x v="63"/>
    <x v="324"/>
    <s v="David Production"/>
    <x v="5"/>
    <s v="Fall"/>
  </r>
  <r>
    <x v="619"/>
    <n v="941"/>
    <x v="125"/>
    <x v="377"/>
    <s v="Chosen"/>
    <x v="5"/>
    <s v="Fall"/>
  </r>
  <r>
    <x v="620"/>
    <n v="390"/>
    <x v="175"/>
    <x v="228"/>
    <s v="Wolf Smoke Studio"/>
    <x v="5"/>
    <s v="Fall"/>
  </r>
  <r>
    <x v="621"/>
    <n v="7300"/>
    <x v="257"/>
    <x v="378"/>
    <s v="Production I.G, Sola Digital Arts"/>
    <x v="5"/>
    <s v="Fall"/>
  </r>
  <r>
    <x v="622"/>
    <n v="507"/>
    <x v="150"/>
    <x v="379"/>
    <s v="Tecarat"/>
    <x v="5"/>
    <s v="Fall"/>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3">
  <r>
    <x v="0"/>
    <x v="0"/>
    <x v="0"/>
    <x v="0"/>
    <x v="0"/>
    <x v="0"/>
    <x v="0"/>
  </r>
  <r>
    <x v="1"/>
    <x v="1"/>
    <x v="1"/>
    <x v="1"/>
    <x v="1"/>
    <x v="0"/>
    <x v="0"/>
  </r>
  <r>
    <x v="2"/>
    <x v="2"/>
    <x v="2"/>
    <x v="1"/>
    <x v="1"/>
    <x v="0"/>
    <x v="0"/>
  </r>
  <r>
    <x v="3"/>
    <x v="3"/>
    <x v="3"/>
    <x v="1"/>
    <x v="2"/>
    <x v="0"/>
    <x v="0"/>
  </r>
  <r>
    <x v="4"/>
    <x v="4"/>
    <x v="4"/>
    <x v="2"/>
    <x v="3"/>
    <x v="0"/>
    <x v="0"/>
  </r>
  <r>
    <x v="5"/>
    <x v="5"/>
    <x v="5"/>
    <x v="1"/>
    <x v="4"/>
    <x v="0"/>
    <x v="0"/>
  </r>
  <r>
    <x v="6"/>
    <x v="6"/>
    <x v="6"/>
    <x v="1"/>
    <x v="5"/>
    <x v="0"/>
    <x v="0"/>
  </r>
  <r>
    <x v="7"/>
    <x v="7"/>
    <x v="7"/>
    <x v="1"/>
    <x v="6"/>
    <x v="0"/>
    <x v="0"/>
  </r>
  <r>
    <x v="8"/>
    <x v="8"/>
    <x v="8"/>
    <x v="1"/>
    <x v="7"/>
    <x v="0"/>
    <x v="0"/>
  </r>
  <r>
    <x v="9"/>
    <x v="9"/>
    <x v="9"/>
    <x v="1"/>
    <x v="8"/>
    <x v="0"/>
    <x v="0"/>
  </r>
  <r>
    <x v="10"/>
    <x v="10"/>
    <x v="10"/>
    <x v="1"/>
    <x v="9"/>
    <x v="0"/>
    <x v="0"/>
  </r>
  <r>
    <x v="11"/>
    <x v="11"/>
    <x v="11"/>
    <x v="3"/>
    <x v="10"/>
    <x v="0"/>
    <x v="0"/>
  </r>
  <r>
    <x v="12"/>
    <x v="12"/>
    <x v="12"/>
    <x v="3"/>
    <x v="10"/>
    <x v="0"/>
    <x v="0"/>
  </r>
  <r>
    <x v="13"/>
    <x v="13"/>
    <x v="13"/>
    <x v="4"/>
    <x v="11"/>
    <x v="0"/>
    <x v="0"/>
  </r>
  <r>
    <x v="14"/>
    <x v="14"/>
    <x v="14"/>
    <x v="1"/>
    <x v="12"/>
    <x v="0"/>
    <x v="0"/>
  </r>
  <r>
    <x v="15"/>
    <x v="15"/>
    <x v="15"/>
    <x v="1"/>
    <x v="13"/>
    <x v="0"/>
    <x v="0"/>
  </r>
  <r>
    <x v="16"/>
    <x v="16"/>
    <x v="15"/>
    <x v="5"/>
    <x v="14"/>
    <x v="0"/>
    <x v="0"/>
  </r>
  <r>
    <x v="17"/>
    <x v="17"/>
    <x v="16"/>
    <x v="5"/>
    <x v="15"/>
    <x v="0"/>
    <x v="0"/>
  </r>
  <r>
    <x v="18"/>
    <x v="18"/>
    <x v="17"/>
    <x v="1"/>
    <x v="16"/>
    <x v="0"/>
    <x v="0"/>
  </r>
  <r>
    <x v="19"/>
    <x v="19"/>
    <x v="18"/>
    <x v="1"/>
    <x v="17"/>
    <x v="0"/>
    <x v="0"/>
  </r>
  <r>
    <x v="20"/>
    <x v="20"/>
    <x v="19"/>
    <x v="6"/>
    <x v="18"/>
    <x v="0"/>
    <x v="0"/>
  </r>
  <r>
    <x v="21"/>
    <x v="21"/>
    <x v="20"/>
    <x v="5"/>
    <x v="19"/>
    <x v="0"/>
    <x v="0"/>
  </r>
  <r>
    <x v="22"/>
    <x v="22"/>
    <x v="21"/>
    <x v="7"/>
    <x v="8"/>
    <x v="0"/>
    <x v="0"/>
  </r>
  <r>
    <x v="23"/>
    <x v="23"/>
    <x v="22"/>
    <x v="1"/>
    <x v="20"/>
    <x v="0"/>
    <x v="0"/>
  </r>
  <r>
    <x v="24"/>
    <x v="24"/>
    <x v="23"/>
    <x v="5"/>
    <x v="8"/>
    <x v="0"/>
    <x v="0"/>
  </r>
  <r>
    <x v="25"/>
    <x v="25"/>
    <x v="24"/>
    <x v="8"/>
    <x v="21"/>
    <x v="0"/>
    <x v="0"/>
  </r>
  <r>
    <x v="26"/>
    <x v="26"/>
    <x v="25"/>
    <x v="3"/>
    <x v="22"/>
    <x v="0"/>
    <x v="0"/>
  </r>
  <r>
    <x v="27"/>
    <x v="27"/>
    <x v="26"/>
    <x v="9"/>
    <x v="23"/>
    <x v="0"/>
    <x v="0"/>
  </r>
  <r>
    <x v="28"/>
    <x v="28"/>
    <x v="27"/>
    <x v="2"/>
    <x v="24"/>
    <x v="0"/>
    <x v="0"/>
  </r>
  <r>
    <x v="29"/>
    <x v="29"/>
    <x v="28"/>
    <x v="5"/>
    <x v="25"/>
    <x v="0"/>
    <x v="0"/>
  </r>
  <r>
    <x v="30"/>
    <x v="30"/>
    <x v="29"/>
    <x v="2"/>
    <x v="26"/>
    <x v="0"/>
    <x v="0"/>
  </r>
  <r>
    <x v="31"/>
    <x v="31"/>
    <x v="30"/>
    <x v="4"/>
    <x v="27"/>
    <x v="0"/>
    <x v="0"/>
  </r>
  <r>
    <x v="32"/>
    <x v="32"/>
    <x v="31"/>
    <x v="2"/>
    <x v="28"/>
    <x v="0"/>
    <x v="0"/>
  </r>
  <r>
    <x v="33"/>
    <x v="33"/>
    <x v="32"/>
    <x v="1"/>
    <x v="29"/>
    <x v="0"/>
    <x v="0"/>
  </r>
  <r>
    <x v="34"/>
    <x v="34"/>
    <x v="33"/>
    <x v="2"/>
    <x v="30"/>
    <x v="0"/>
    <x v="0"/>
  </r>
  <r>
    <x v="35"/>
    <x v="35"/>
    <x v="34"/>
    <x v="5"/>
    <x v="31"/>
    <x v="0"/>
    <x v="0"/>
  </r>
  <r>
    <x v="36"/>
    <x v="36"/>
    <x v="35"/>
    <x v="3"/>
    <x v="32"/>
    <x v="0"/>
    <x v="0"/>
  </r>
  <r>
    <x v="37"/>
    <x v="37"/>
    <x v="36"/>
    <x v="2"/>
    <x v="33"/>
    <x v="0"/>
    <x v="0"/>
  </r>
  <r>
    <x v="38"/>
    <x v="38"/>
    <x v="19"/>
    <x v="3"/>
    <x v="2"/>
    <x v="0"/>
    <x v="0"/>
  </r>
  <r>
    <x v="39"/>
    <x v="39"/>
    <x v="9"/>
    <x v="1"/>
    <x v="34"/>
    <x v="0"/>
    <x v="0"/>
  </r>
  <r>
    <x v="40"/>
    <x v="40"/>
    <x v="34"/>
    <x v="1"/>
    <x v="35"/>
    <x v="0"/>
    <x v="0"/>
  </r>
  <r>
    <x v="41"/>
    <x v="41"/>
    <x v="37"/>
    <x v="10"/>
    <x v="36"/>
    <x v="0"/>
    <x v="0"/>
  </r>
  <r>
    <x v="42"/>
    <x v="42"/>
    <x v="38"/>
    <x v="7"/>
    <x v="37"/>
    <x v="0"/>
    <x v="0"/>
  </r>
  <r>
    <x v="43"/>
    <x v="43"/>
    <x v="39"/>
    <x v="1"/>
    <x v="38"/>
    <x v="0"/>
    <x v="0"/>
  </r>
  <r>
    <x v="44"/>
    <x v="44"/>
    <x v="40"/>
    <x v="3"/>
    <x v="39"/>
    <x v="0"/>
    <x v="0"/>
  </r>
  <r>
    <x v="45"/>
    <x v="45"/>
    <x v="41"/>
    <x v="11"/>
    <x v="40"/>
    <x v="0"/>
    <x v="0"/>
  </r>
  <r>
    <x v="46"/>
    <x v="46"/>
    <x v="42"/>
    <x v="3"/>
    <x v="41"/>
    <x v="0"/>
    <x v="0"/>
  </r>
  <r>
    <x v="47"/>
    <x v="47"/>
    <x v="43"/>
    <x v="1"/>
    <x v="42"/>
    <x v="0"/>
    <x v="0"/>
  </r>
  <r>
    <x v="48"/>
    <x v="48"/>
    <x v="4"/>
    <x v="1"/>
    <x v="38"/>
    <x v="0"/>
    <x v="0"/>
  </r>
  <r>
    <x v="49"/>
    <x v="49"/>
    <x v="44"/>
    <x v="0"/>
    <x v="43"/>
    <x v="0"/>
    <x v="0"/>
  </r>
  <r>
    <x v="50"/>
    <x v="50"/>
    <x v="45"/>
    <x v="0"/>
    <x v="44"/>
    <x v="0"/>
    <x v="0"/>
  </r>
  <r>
    <x v="51"/>
    <x v="51"/>
    <x v="46"/>
    <x v="3"/>
    <x v="45"/>
    <x v="0"/>
    <x v="0"/>
  </r>
  <r>
    <x v="52"/>
    <x v="52"/>
    <x v="47"/>
    <x v="1"/>
    <x v="46"/>
    <x v="0"/>
    <x v="0"/>
  </r>
  <r>
    <x v="53"/>
    <x v="53"/>
    <x v="48"/>
    <x v="8"/>
    <x v="47"/>
    <x v="0"/>
    <x v="0"/>
  </r>
  <r>
    <x v="54"/>
    <x v="54"/>
    <x v="49"/>
    <x v="2"/>
    <x v="48"/>
    <x v="0"/>
    <x v="0"/>
  </r>
  <r>
    <x v="55"/>
    <x v="55"/>
    <x v="50"/>
    <x v="3"/>
    <x v="49"/>
    <x v="0"/>
    <x v="0"/>
  </r>
  <r>
    <x v="56"/>
    <x v="56"/>
    <x v="51"/>
    <x v="1"/>
    <x v="50"/>
    <x v="0"/>
    <x v="0"/>
  </r>
  <r>
    <x v="57"/>
    <x v="57"/>
    <x v="52"/>
    <x v="3"/>
    <x v="48"/>
    <x v="0"/>
    <x v="0"/>
  </r>
  <r>
    <x v="58"/>
    <x v="58"/>
    <x v="53"/>
    <x v="1"/>
    <x v="51"/>
    <x v="0"/>
    <x v="0"/>
  </r>
  <r>
    <x v="59"/>
    <x v="59"/>
    <x v="54"/>
    <x v="1"/>
    <x v="31"/>
    <x v="0"/>
    <x v="0"/>
  </r>
  <r>
    <x v="60"/>
    <x v="60"/>
    <x v="49"/>
    <x v="9"/>
    <x v="52"/>
    <x v="0"/>
    <x v="0"/>
  </r>
  <r>
    <x v="61"/>
    <x v="61"/>
    <x v="55"/>
    <x v="1"/>
    <x v="29"/>
    <x v="0"/>
    <x v="0"/>
  </r>
  <r>
    <x v="62"/>
    <x v="62"/>
    <x v="56"/>
    <x v="1"/>
    <x v="4"/>
    <x v="0"/>
    <x v="0"/>
  </r>
  <r>
    <x v="63"/>
    <x v="63"/>
    <x v="57"/>
    <x v="1"/>
    <x v="53"/>
    <x v="0"/>
    <x v="0"/>
  </r>
  <r>
    <x v="64"/>
    <x v="64"/>
    <x v="58"/>
    <x v="2"/>
    <x v="54"/>
    <x v="0"/>
    <x v="0"/>
  </r>
  <r>
    <x v="65"/>
    <x v="65"/>
    <x v="59"/>
    <x v="1"/>
    <x v="43"/>
    <x v="0"/>
    <x v="0"/>
  </r>
  <r>
    <x v="66"/>
    <x v="66"/>
    <x v="60"/>
    <x v="1"/>
    <x v="55"/>
    <x v="0"/>
    <x v="0"/>
  </r>
  <r>
    <x v="67"/>
    <x v="67"/>
    <x v="61"/>
    <x v="1"/>
    <x v="56"/>
    <x v="0"/>
    <x v="0"/>
  </r>
  <r>
    <x v="68"/>
    <x v="68"/>
    <x v="6"/>
    <x v="1"/>
    <x v="57"/>
    <x v="0"/>
    <x v="0"/>
  </r>
  <r>
    <x v="69"/>
    <x v="69"/>
    <x v="62"/>
    <x v="1"/>
    <x v="58"/>
    <x v="0"/>
    <x v="0"/>
  </r>
  <r>
    <x v="70"/>
    <x v="70"/>
    <x v="63"/>
    <x v="1"/>
    <x v="55"/>
    <x v="0"/>
    <x v="0"/>
  </r>
  <r>
    <x v="71"/>
    <x v="71"/>
    <x v="64"/>
    <x v="1"/>
    <x v="55"/>
    <x v="0"/>
    <x v="0"/>
  </r>
  <r>
    <x v="72"/>
    <x v="72"/>
    <x v="51"/>
    <x v="1"/>
    <x v="59"/>
    <x v="0"/>
    <x v="0"/>
  </r>
  <r>
    <x v="73"/>
    <x v="73"/>
    <x v="65"/>
    <x v="1"/>
    <x v="60"/>
    <x v="0"/>
    <x v="0"/>
  </r>
  <r>
    <x v="74"/>
    <x v="74"/>
    <x v="66"/>
    <x v="4"/>
    <x v="61"/>
    <x v="0"/>
    <x v="0"/>
  </r>
  <r>
    <x v="75"/>
    <x v="75"/>
    <x v="67"/>
    <x v="1"/>
    <x v="62"/>
    <x v="0"/>
    <x v="0"/>
  </r>
  <r>
    <x v="76"/>
    <x v="76"/>
    <x v="68"/>
    <x v="1"/>
    <x v="63"/>
    <x v="0"/>
    <x v="0"/>
  </r>
  <r>
    <x v="77"/>
    <x v="77"/>
    <x v="69"/>
    <x v="1"/>
    <x v="64"/>
    <x v="0"/>
    <x v="0"/>
  </r>
  <r>
    <x v="78"/>
    <x v="78"/>
    <x v="70"/>
    <x v="1"/>
    <x v="65"/>
    <x v="0"/>
    <x v="0"/>
  </r>
  <r>
    <x v="79"/>
    <x v="79"/>
    <x v="66"/>
    <x v="1"/>
    <x v="57"/>
    <x v="0"/>
    <x v="0"/>
  </r>
  <r>
    <x v="80"/>
    <x v="80"/>
    <x v="71"/>
    <x v="1"/>
    <x v="66"/>
    <x v="0"/>
    <x v="0"/>
  </r>
  <r>
    <x v="81"/>
    <x v="81"/>
    <x v="30"/>
    <x v="1"/>
    <x v="67"/>
    <x v="0"/>
    <x v="0"/>
  </r>
  <r>
    <x v="82"/>
    <x v="82"/>
    <x v="72"/>
    <x v="9"/>
    <x v="68"/>
    <x v="0"/>
    <x v="0"/>
  </r>
  <r>
    <x v="83"/>
    <x v="83"/>
    <x v="67"/>
    <x v="1"/>
    <x v="69"/>
    <x v="0"/>
    <x v="0"/>
  </r>
  <r>
    <x v="84"/>
    <x v="84"/>
    <x v="73"/>
    <x v="2"/>
    <x v="70"/>
    <x v="0"/>
    <x v="0"/>
  </r>
  <r>
    <x v="85"/>
    <x v="85"/>
    <x v="74"/>
    <x v="3"/>
    <x v="71"/>
    <x v="0"/>
    <x v="0"/>
  </r>
  <r>
    <x v="86"/>
    <x v="86"/>
    <x v="75"/>
    <x v="3"/>
    <x v="72"/>
    <x v="0"/>
    <x v="0"/>
  </r>
  <r>
    <x v="87"/>
    <x v="87"/>
    <x v="76"/>
    <x v="8"/>
    <x v="73"/>
    <x v="0"/>
    <x v="0"/>
  </r>
  <r>
    <x v="88"/>
    <x v="88"/>
    <x v="77"/>
    <x v="1"/>
    <x v="74"/>
    <x v="0"/>
    <x v="0"/>
  </r>
  <r>
    <x v="89"/>
    <x v="89"/>
    <x v="78"/>
    <x v="6"/>
    <x v="75"/>
    <x v="0"/>
    <x v="0"/>
  </r>
  <r>
    <x v="90"/>
    <x v="90"/>
    <x v="79"/>
    <x v="1"/>
    <x v="76"/>
    <x v="0"/>
    <x v="1"/>
  </r>
  <r>
    <x v="91"/>
    <x v="91"/>
    <x v="80"/>
    <x v="4"/>
    <x v="19"/>
    <x v="0"/>
    <x v="1"/>
  </r>
  <r>
    <x v="92"/>
    <x v="92"/>
    <x v="81"/>
    <x v="0"/>
    <x v="43"/>
    <x v="0"/>
    <x v="1"/>
  </r>
  <r>
    <x v="93"/>
    <x v="93"/>
    <x v="63"/>
    <x v="5"/>
    <x v="54"/>
    <x v="0"/>
    <x v="1"/>
  </r>
  <r>
    <x v="94"/>
    <x v="94"/>
    <x v="82"/>
    <x v="3"/>
    <x v="77"/>
    <x v="0"/>
    <x v="1"/>
  </r>
  <r>
    <x v="95"/>
    <x v="95"/>
    <x v="83"/>
    <x v="3"/>
    <x v="2"/>
    <x v="0"/>
    <x v="1"/>
  </r>
  <r>
    <x v="96"/>
    <x v="96"/>
    <x v="84"/>
    <x v="3"/>
    <x v="2"/>
    <x v="0"/>
    <x v="1"/>
  </r>
  <r>
    <x v="97"/>
    <x v="97"/>
    <x v="85"/>
    <x v="0"/>
    <x v="78"/>
    <x v="0"/>
    <x v="1"/>
  </r>
  <r>
    <x v="98"/>
    <x v="98"/>
    <x v="86"/>
    <x v="3"/>
    <x v="79"/>
    <x v="0"/>
    <x v="1"/>
  </r>
  <r>
    <x v="99"/>
    <x v="99"/>
    <x v="87"/>
    <x v="1"/>
    <x v="1"/>
    <x v="0"/>
    <x v="1"/>
  </r>
  <r>
    <x v="100"/>
    <x v="100"/>
    <x v="88"/>
    <x v="1"/>
    <x v="5"/>
    <x v="1"/>
    <x v="0"/>
  </r>
  <r>
    <x v="101"/>
    <x v="101"/>
    <x v="89"/>
    <x v="1"/>
    <x v="43"/>
    <x v="1"/>
    <x v="0"/>
  </r>
  <r>
    <x v="102"/>
    <x v="102"/>
    <x v="90"/>
    <x v="2"/>
    <x v="80"/>
    <x v="1"/>
    <x v="0"/>
  </r>
  <r>
    <x v="103"/>
    <x v="103"/>
    <x v="91"/>
    <x v="0"/>
    <x v="43"/>
    <x v="1"/>
    <x v="0"/>
  </r>
  <r>
    <x v="104"/>
    <x v="104"/>
    <x v="92"/>
    <x v="3"/>
    <x v="81"/>
    <x v="1"/>
    <x v="0"/>
  </r>
  <r>
    <x v="105"/>
    <x v="105"/>
    <x v="93"/>
    <x v="1"/>
    <x v="1"/>
    <x v="1"/>
    <x v="0"/>
  </r>
  <r>
    <x v="106"/>
    <x v="106"/>
    <x v="94"/>
    <x v="3"/>
    <x v="82"/>
    <x v="1"/>
    <x v="0"/>
  </r>
  <r>
    <x v="107"/>
    <x v="107"/>
    <x v="69"/>
    <x v="2"/>
    <x v="83"/>
    <x v="1"/>
    <x v="0"/>
  </r>
  <r>
    <x v="108"/>
    <x v="108"/>
    <x v="95"/>
    <x v="1"/>
    <x v="84"/>
    <x v="1"/>
    <x v="0"/>
  </r>
  <r>
    <x v="109"/>
    <x v="109"/>
    <x v="96"/>
    <x v="3"/>
    <x v="85"/>
    <x v="1"/>
    <x v="0"/>
  </r>
  <r>
    <x v="110"/>
    <x v="110"/>
    <x v="97"/>
    <x v="1"/>
    <x v="23"/>
    <x v="1"/>
    <x v="0"/>
  </r>
  <r>
    <x v="111"/>
    <x v="111"/>
    <x v="98"/>
    <x v="4"/>
    <x v="86"/>
    <x v="1"/>
    <x v="0"/>
  </r>
  <r>
    <x v="112"/>
    <x v="112"/>
    <x v="99"/>
    <x v="3"/>
    <x v="36"/>
    <x v="1"/>
    <x v="0"/>
  </r>
  <r>
    <x v="113"/>
    <x v="113"/>
    <x v="100"/>
    <x v="0"/>
    <x v="87"/>
    <x v="1"/>
    <x v="0"/>
  </r>
  <r>
    <x v="114"/>
    <x v="114"/>
    <x v="28"/>
    <x v="0"/>
    <x v="88"/>
    <x v="1"/>
    <x v="0"/>
  </r>
  <r>
    <x v="115"/>
    <x v="115"/>
    <x v="99"/>
    <x v="1"/>
    <x v="77"/>
    <x v="1"/>
    <x v="0"/>
  </r>
  <r>
    <x v="116"/>
    <x v="116"/>
    <x v="101"/>
    <x v="1"/>
    <x v="89"/>
    <x v="1"/>
    <x v="0"/>
  </r>
  <r>
    <x v="117"/>
    <x v="117"/>
    <x v="102"/>
    <x v="5"/>
    <x v="90"/>
    <x v="1"/>
    <x v="0"/>
  </r>
  <r>
    <x v="118"/>
    <x v="118"/>
    <x v="103"/>
    <x v="6"/>
    <x v="19"/>
    <x v="1"/>
    <x v="0"/>
  </r>
  <r>
    <x v="119"/>
    <x v="119"/>
    <x v="104"/>
    <x v="2"/>
    <x v="24"/>
    <x v="1"/>
    <x v="0"/>
  </r>
  <r>
    <x v="120"/>
    <x v="120"/>
    <x v="105"/>
    <x v="0"/>
    <x v="91"/>
    <x v="1"/>
    <x v="0"/>
  </r>
  <r>
    <x v="121"/>
    <x v="121"/>
    <x v="19"/>
    <x v="3"/>
    <x v="92"/>
    <x v="1"/>
    <x v="0"/>
  </r>
  <r>
    <x v="122"/>
    <x v="122"/>
    <x v="106"/>
    <x v="1"/>
    <x v="93"/>
    <x v="1"/>
    <x v="0"/>
  </r>
  <r>
    <x v="123"/>
    <x v="123"/>
    <x v="107"/>
    <x v="0"/>
    <x v="24"/>
    <x v="1"/>
    <x v="0"/>
  </r>
  <r>
    <x v="124"/>
    <x v="124"/>
    <x v="108"/>
    <x v="1"/>
    <x v="94"/>
    <x v="1"/>
    <x v="0"/>
  </r>
  <r>
    <x v="125"/>
    <x v="125"/>
    <x v="109"/>
    <x v="1"/>
    <x v="95"/>
    <x v="1"/>
    <x v="0"/>
  </r>
  <r>
    <x v="126"/>
    <x v="126"/>
    <x v="110"/>
    <x v="8"/>
    <x v="93"/>
    <x v="1"/>
    <x v="0"/>
  </r>
  <r>
    <x v="127"/>
    <x v="127"/>
    <x v="111"/>
    <x v="2"/>
    <x v="96"/>
    <x v="1"/>
    <x v="0"/>
  </r>
  <r>
    <x v="128"/>
    <x v="128"/>
    <x v="112"/>
    <x v="4"/>
    <x v="97"/>
    <x v="1"/>
    <x v="0"/>
  </r>
  <r>
    <x v="129"/>
    <x v="129"/>
    <x v="113"/>
    <x v="2"/>
    <x v="0"/>
    <x v="1"/>
    <x v="0"/>
  </r>
  <r>
    <x v="130"/>
    <x v="130"/>
    <x v="114"/>
    <x v="1"/>
    <x v="98"/>
    <x v="1"/>
    <x v="0"/>
  </r>
  <r>
    <x v="131"/>
    <x v="131"/>
    <x v="92"/>
    <x v="1"/>
    <x v="86"/>
    <x v="1"/>
    <x v="0"/>
  </r>
  <r>
    <x v="132"/>
    <x v="132"/>
    <x v="115"/>
    <x v="1"/>
    <x v="30"/>
    <x v="1"/>
    <x v="0"/>
  </r>
  <r>
    <x v="133"/>
    <x v="133"/>
    <x v="93"/>
    <x v="1"/>
    <x v="38"/>
    <x v="1"/>
    <x v="0"/>
  </r>
  <r>
    <x v="134"/>
    <x v="134"/>
    <x v="15"/>
    <x v="1"/>
    <x v="99"/>
    <x v="1"/>
    <x v="0"/>
  </r>
  <r>
    <x v="135"/>
    <x v="135"/>
    <x v="116"/>
    <x v="3"/>
    <x v="100"/>
    <x v="1"/>
    <x v="0"/>
  </r>
  <r>
    <x v="136"/>
    <x v="136"/>
    <x v="117"/>
    <x v="1"/>
    <x v="101"/>
    <x v="1"/>
    <x v="0"/>
  </r>
  <r>
    <x v="137"/>
    <x v="137"/>
    <x v="23"/>
    <x v="8"/>
    <x v="38"/>
    <x v="1"/>
    <x v="0"/>
  </r>
  <r>
    <x v="138"/>
    <x v="138"/>
    <x v="98"/>
    <x v="1"/>
    <x v="102"/>
    <x v="1"/>
    <x v="0"/>
  </r>
  <r>
    <x v="139"/>
    <x v="139"/>
    <x v="118"/>
    <x v="0"/>
    <x v="103"/>
    <x v="1"/>
    <x v="0"/>
  </r>
  <r>
    <x v="140"/>
    <x v="140"/>
    <x v="32"/>
    <x v="5"/>
    <x v="104"/>
    <x v="1"/>
    <x v="0"/>
  </r>
  <r>
    <x v="141"/>
    <x v="141"/>
    <x v="119"/>
    <x v="3"/>
    <x v="105"/>
    <x v="1"/>
    <x v="0"/>
  </r>
  <r>
    <x v="142"/>
    <x v="142"/>
    <x v="41"/>
    <x v="7"/>
    <x v="105"/>
    <x v="1"/>
    <x v="0"/>
  </r>
  <r>
    <x v="143"/>
    <x v="143"/>
    <x v="120"/>
    <x v="1"/>
    <x v="106"/>
    <x v="1"/>
    <x v="0"/>
  </r>
  <r>
    <x v="144"/>
    <x v="144"/>
    <x v="121"/>
    <x v="1"/>
    <x v="107"/>
    <x v="1"/>
    <x v="0"/>
  </r>
  <r>
    <x v="145"/>
    <x v="145"/>
    <x v="73"/>
    <x v="5"/>
    <x v="108"/>
    <x v="1"/>
    <x v="0"/>
  </r>
  <r>
    <x v="146"/>
    <x v="146"/>
    <x v="122"/>
    <x v="1"/>
    <x v="109"/>
    <x v="1"/>
    <x v="0"/>
  </r>
  <r>
    <x v="147"/>
    <x v="147"/>
    <x v="123"/>
    <x v="1"/>
    <x v="110"/>
    <x v="1"/>
    <x v="0"/>
  </r>
  <r>
    <x v="148"/>
    <x v="148"/>
    <x v="124"/>
    <x v="6"/>
    <x v="105"/>
    <x v="1"/>
    <x v="0"/>
  </r>
  <r>
    <x v="149"/>
    <x v="149"/>
    <x v="102"/>
    <x v="1"/>
    <x v="111"/>
    <x v="1"/>
    <x v="0"/>
  </r>
  <r>
    <x v="150"/>
    <x v="150"/>
    <x v="125"/>
    <x v="1"/>
    <x v="112"/>
    <x v="1"/>
    <x v="0"/>
  </r>
  <r>
    <x v="151"/>
    <x v="151"/>
    <x v="126"/>
    <x v="3"/>
    <x v="105"/>
    <x v="1"/>
    <x v="0"/>
  </r>
  <r>
    <x v="152"/>
    <x v="152"/>
    <x v="16"/>
    <x v="9"/>
    <x v="113"/>
    <x v="1"/>
    <x v="0"/>
  </r>
  <r>
    <x v="153"/>
    <x v="153"/>
    <x v="127"/>
    <x v="8"/>
    <x v="114"/>
    <x v="1"/>
    <x v="0"/>
  </r>
  <r>
    <x v="154"/>
    <x v="154"/>
    <x v="128"/>
    <x v="8"/>
    <x v="115"/>
    <x v="1"/>
    <x v="0"/>
  </r>
  <r>
    <x v="155"/>
    <x v="155"/>
    <x v="36"/>
    <x v="1"/>
    <x v="94"/>
    <x v="1"/>
    <x v="0"/>
  </r>
  <r>
    <x v="156"/>
    <x v="156"/>
    <x v="129"/>
    <x v="3"/>
    <x v="116"/>
    <x v="1"/>
    <x v="0"/>
  </r>
  <r>
    <x v="157"/>
    <x v="157"/>
    <x v="18"/>
    <x v="1"/>
    <x v="117"/>
    <x v="1"/>
    <x v="2"/>
  </r>
  <r>
    <x v="158"/>
    <x v="158"/>
    <x v="80"/>
    <x v="1"/>
    <x v="9"/>
    <x v="1"/>
    <x v="2"/>
  </r>
  <r>
    <x v="159"/>
    <x v="159"/>
    <x v="44"/>
    <x v="4"/>
    <x v="84"/>
    <x v="1"/>
    <x v="2"/>
  </r>
  <r>
    <x v="160"/>
    <x v="160"/>
    <x v="130"/>
    <x v="2"/>
    <x v="84"/>
    <x v="1"/>
    <x v="2"/>
  </r>
  <r>
    <x v="161"/>
    <x v="161"/>
    <x v="131"/>
    <x v="1"/>
    <x v="118"/>
    <x v="1"/>
    <x v="2"/>
  </r>
  <r>
    <x v="162"/>
    <x v="162"/>
    <x v="132"/>
    <x v="12"/>
    <x v="119"/>
    <x v="1"/>
    <x v="2"/>
  </r>
  <r>
    <x v="163"/>
    <x v="163"/>
    <x v="133"/>
    <x v="1"/>
    <x v="43"/>
    <x v="1"/>
    <x v="2"/>
  </r>
  <r>
    <x v="164"/>
    <x v="164"/>
    <x v="87"/>
    <x v="4"/>
    <x v="46"/>
    <x v="1"/>
    <x v="2"/>
  </r>
  <r>
    <x v="165"/>
    <x v="165"/>
    <x v="134"/>
    <x v="5"/>
    <x v="120"/>
    <x v="1"/>
    <x v="2"/>
  </r>
  <r>
    <x v="166"/>
    <x v="166"/>
    <x v="135"/>
    <x v="2"/>
    <x v="84"/>
    <x v="1"/>
    <x v="2"/>
  </r>
  <r>
    <x v="167"/>
    <x v="167"/>
    <x v="57"/>
    <x v="3"/>
    <x v="121"/>
    <x v="1"/>
    <x v="2"/>
  </r>
  <r>
    <x v="168"/>
    <x v="168"/>
    <x v="136"/>
    <x v="0"/>
    <x v="122"/>
    <x v="1"/>
    <x v="2"/>
  </r>
  <r>
    <x v="169"/>
    <x v="169"/>
    <x v="31"/>
    <x v="1"/>
    <x v="123"/>
    <x v="1"/>
    <x v="2"/>
  </r>
  <r>
    <x v="170"/>
    <x v="170"/>
    <x v="66"/>
    <x v="1"/>
    <x v="83"/>
    <x v="1"/>
    <x v="2"/>
  </r>
  <r>
    <x v="171"/>
    <x v="171"/>
    <x v="127"/>
    <x v="0"/>
    <x v="124"/>
    <x v="1"/>
    <x v="2"/>
  </r>
  <r>
    <x v="172"/>
    <x v="172"/>
    <x v="137"/>
    <x v="0"/>
    <x v="34"/>
    <x v="1"/>
    <x v="2"/>
  </r>
  <r>
    <x v="173"/>
    <x v="173"/>
    <x v="83"/>
    <x v="3"/>
    <x v="74"/>
    <x v="1"/>
    <x v="2"/>
  </r>
  <r>
    <x v="174"/>
    <x v="174"/>
    <x v="138"/>
    <x v="3"/>
    <x v="43"/>
    <x v="1"/>
    <x v="2"/>
  </r>
  <r>
    <x v="175"/>
    <x v="175"/>
    <x v="139"/>
    <x v="0"/>
    <x v="28"/>
    <x v="1"/>
    <x v="2"/>
  </r>
  <r>
    <x v="176"/>
    <x v="176"/>
    <x v="16"/>
    <x v="0"/>
    <x v="125"/>
    <x v="1"/>
    <x v="2"/>
  </r>
  <r>
    <x v="177"/>
    <x v="177"/>
    <x v="140"/>
    <x v="3"/>
    <x v="126"/>
    <x v="1"/>
    <x v="2"/>
  </r>
  <r>
    <x v="178"/>
    <x v="178"/>
    <x v="141"/>
    <x v="2"/>
    <x v="127"/>
    <x v="1"/>
    <x v="2"/>
  </r>
  <r>
    <x v="179"/>
    <x v="179"/>
    <x v="142"/>
    <x v="11"/>
    <x v="40"/>
    <x v="1"/>
    <x v="2"/>
  </r>
  <r>
    <x v="180"/>
    <x v="180"/>
    <x v="141"/>
    <x v="3"/>
    <x v="81"/>
    <x v="1"/>
    <x v="2"/>
  </r>
  <r>
    <x v="181"/>
    <x v="181"/>
    <x v="9"/>
    <x v="1"/>
    <x v="54"/>
    <x v="1"/>
    <x v="2"/>
  </r>
  <r>
    <x v="182"/>
    <x v="182"/>
    <x v="143"/>
    <x v="2"/>
    <x v="128"/>
    <x v="1"/>
    <x v="2"/>
  </r>
  <r>
    <x v="183"/>
    <x v="183"/>
    <x v="144"/>
    <x v="1"/>
    <x v="129"/>
    <x v="1"/>
    <x v="2"/>
  </r>
  <r>
    <x v="184"/>
    <x v="184"/>
    <x v="145"/>
    <x v="1"/>
    <x v="130"/>
    <x v="1"/>
    <x v="2"/>
  </r>
  <r>
    <x v="185"/>
    <x v="185"/>
    <x v="146"/>
    <x v="8"/>
    <x v="131"/>
    <x v="1"/>
    <x v="2"/>
  </r>
  <r>
    <x v="186"/>
    <x v="186"/>
    <x v="147"/>
    <x v="3"/>
    <x v="105"/>
    <x v="1"/>
    <x v="2"/>
  </r>
  <r>
    <x v="187"/>
    <x v="187"/>
    <x v="148"/>
    <x v="1"/>
    <x v="60"/>
    <x v="1"/>
    <x v="2"/>
  </r>
  <r>
    <x v="188"/>
    <x v="188"/>
    <x v="149"/>
    <x v="3"/>
    <x v="105"/>
    <x v="1"/>
    <x v="2"/>
  </r>
  <r>
    <x v="189"/>
    <x v="189"/>
    <x v="150"/>
    <x v="9"/>
    <x v="84"/>
    <x v="1"/>
    <x v="2"/>
  </r>
  <r>
    <x v="190"/>
    <x v="190"/>
    <x v="125"/>
    <x v="1"/>
    <x v="60"/>
    <x v="1"/>
    <x v="2"/>
  </r>
  <r>
    <x v="191"/>
    <x v="191"/>
    <x v="101"/>
    <x v="3"/>
    <x v="105"/>
    <x v="1"/>
    <x v="2"/>
  </r>
  <r>
    <x v="192"/>
    <x v="192"/>
    <x v="151"/>
    <x v="1"/>
    <x v="1"/>
    <x v="1"/>
    <x v="2"/>
  </r>
  <r>
    <x v="193"/>
    <x v="193"/>
    <x v="1"/>
    <x v="1"/>
    <x v="132"/>
    <x v="1"/>
    <x v="2"/>
  </r>
  <r>
    <x v="194"/>
    <x v="194"/>
    <x v="152"/>
    <x v="2"/>
    <x v="133"/>
    <x v="1"/>
    <x v="2"/>
  </r>
  <r>
    <x v="195"/>
    <x v="195"/>
    <x v="153"/>
    <x v="3"/>
    <x v="132"/>
    <x v="1"/>
    <x v="2"/>
  </r>
  <r>
    <x v="196"/>
    <x v="196"/>
    <x v="83"/>
    <x v="5"/>
    <x v="134"/>
    <x v="1"/>
    <x v="2"/>
  </r>
  <r>
    <x v="197"/>
    <x v="197"/>
    <x v="154"/>
    <x v="5"/>
    <x v="120"/>
    <x v="1"/>
    <x v="2"/>
  </r>
  <r>
    <x v="198"/>
    <x v="198"/>
    <x v="124"/>
    <x v="6"/>
    <x v="135"/>
    <x v="1"/>
    <x v="2"/>
  </r>
  <r>
    <x v="199"/>
    <x v="199"/>
    <x v="155"/>
    <x v="1"/>
    <x v="4"/>
    <x v="1"/>
    <x v="1"/>
  </r>
  <r>
    <x v="200"/>
    <x v="200"/>
    <x v="83"/>
    <x v="1"/>
    <x v="84"/>
    <x v="1"/>
    <x v="1"/>
  </r>
  <r>
    <x v="201"/>
    <x v="201"/>
    <x v="30"/>
    <x v="1"/>
    <x v="7"/>
    <x v="1"/>
    <x v="1"/>
  </r>
  <r>
    <x v="202"/>
    <x v="202"/>
    <x v="22"/>
    <x v="5"/>
    <x v="136"/>
    <x v="1"/>
    <x v="1"/>
  </r>
  <r>
    <x v="203"/>
    <x v="203"/>
    <x v="156"/>
    <x v="5"/>
    <x v="137"/>
    <x v="1"/>
    <x v="1"/>
  </r>
  <r>
    <x v="204"/>
    <x v="204"/>
    <x v="22"/>
    <x v="3"/>
    <x v="46"/>
    <x v="1"/>
    <x v="1"/>
  </r>
  <r>
    <x v="205"/>
    <x v="205"/>
    <x v="157"/>
    <x v="3"/>
    <x v="138"/>
    <x v="1"/>
    <x v="1"/>
  </r>
  <r>
    <x v="206"/>
    <x v="206"/>
    <x v="158"/>
    <x v="3"/>
    <x v="3"/>
    <x v="1"/>
    <x v="1"/>
  </r>
  <r>
    <x v="207"/>
    <x v="207"/>
    <x v="159"/>
    <x v="2"/>
    <x v="119"/>
    <x v="1"/>
    <x v="1"/>
  </r>
  <r>
    <x v="208"/>
    <x v="208"/>
    <x v="160"/>
    <x v="5"/>
    <x v="79"/>
    <x v="1"/>
    <x v="1"/>
  </r>
  <r>
    <x v="209"/>
    <x v="209"/>
    <x v="161"/>
    <x v="3"/>
    <x v="28"/>
    <x v="1"/>
    <x v="1"/>
  </r>
  <r>
    <x v="210"/>
    <x v="210"/>
    <x v="162"/>
    <x v="3"/>
    <x v="119"/>
    <x v="1"/>
    <x v="1"/>
  </r>
  <r>
    <x v="211"/>
    <x v="211"/>
    <x v="163"/>
    <x v="3"/>
    <x v="139"/>
    <x v="1"/>
    <x v="1"/>
  </r>
  <r>
    <x v="212"/>
    <x v="212"/>
    <x v="142"/>
    <x v="13"/>
    <x v="15"/>
    <x v="1"/>
    <x v="1"/>
  </r>
  <r>
    <x v="213"/>
    <x v="213"/>
    <x v="101"/>
    <x v="3"/>
    <x v="105"/>
    <x v="1"/>
    <x v="1"/>
  </r>
  <r>
    <x v="214"/>
    <x v="214"/>
    <x v="8"/>
    <x v="1"/>
    <x v="110"/>
    <x v="1"/>
    <x v="1"/>
  </r>
  <r>
    <x v="215"/>
    <x v="215"/>
    <x v="164"/>
    <x v="1"/>
    <x v="60"/>
    <x v="1"/>
    <x v="1"/>
  </r>
  <r>
    <x v="216"/>
    <x v="216"/>
    <x v="118"/>
    <x v="3"/>
    <x v="140"/>
    <x v="1"/>
    <x v="1"/>
  </r>
  <r>
    <x v="217"/>
    <x v="217"/>
    <x v="165"/>
    <x v="1"/>
    <x v="141"/>
    <x v="1"/>
    <x v="1"/>
  </r>
  <r>
    <x v="218"/>
    <x v="218"/>
    <x v="166"/>
    <x v="9"/>
    <x v="142"/>
    <x v="1"/>
    <x v="1"/>
  </r>
  <r>
    <x v="219"/>
    <x v="219"/>
    <x v="16"/>
    <x v="1"/>
    <x v="67"/>
    <x v="1"/>
    <x v="1"/>
  </r>
  <r>
    <x v="220"/>
    <x v="220"/>
    <x v="148"/>
    <x v="1"/>
    <x v="143"/>
    <x v="1"/>
    <x v="1"/>
  </r>
  <r>
    <x v="221"/>
    <x v="221"/>
    <x v="32"/>
    <x v="1"/>
    <x v="60"/>
    <x v="1"/>
    <x v="1"/>
  </r>
  <r>
    <x v="222"/>
    <x v="222"/>
    <x v="167"/>
    <x v="1"/>
    <x v="75"/>
    <x v="1"/>
    <x v="1"/>
  </r>
  <r>
    <x v="223"/>
    <x v="223"/>
    <x v="29"/>
    <x v="1"/>
    <x v="97"/>
    <x v="1"/>
    <x v="1"/>
  </r>
  <r>
    <x v="224"/>
    <x v="224"/>
    <x v="118"/>
    <x v="3"/>
    <x v="144"/>
    <x v="1"/>
    <x v="1"/>
  </r>
  <r>
    <x v="225"/>
    <x v="225"/>
    <x v="168"/>
    <x v="1"/>
    <x v="86"/>
    <x v="1"/>
    <x v="3"/>
  </r>
  <r>
    <x v="226"/>
    <x v="226"/>
    <x v="2"/>
    <x v="1"/>
    <x v="145"/>
    <x v="1"/>
    <x v="3"/>
  </r>
  <r>
    <x v="227"/>
    <x v="227"/>
    <x v="113"/>
    <x v="1"/>
    <x v="9"/>
    <x v="1"/>
    <x v="3"/>
  </r>
  <r>
    <x v="228"/>
    <x v="228"/>
    <x v="16"/>
    <x v="1"/>
    <x v="35"/>
    <x v="1"/>
    <x v="3"/>
  </r>
  <r>
    <x v="229"/>
    <x v="229"/>
    <x v="25"/>
    <x v="1"/>
    <x v="46"/>
    <x v="1"/>
    <x v="3"/>
  </r>
  <r>
    <x v="230"/>
    <x v="230"/>
    <x v="169"/>
    <x v="0"/>
    <x v="1"/>
    <x v="1"/>
    <x v="3"/>
  </r>
  <r>
    <x v="231"/>
    <x v="231"/>
    <x v="78"/>
    <x v="3"/>
    <x v="85"/>
    <x v="1"/>
    <x v="3"/>
  </r>
  <r>
    <x v="232"/>
    <x v="232"/>
    <x v="45"/>
    <x v="1"/>
    <x v="146"/>
    <x v="1"/>
    <x v="3"/>
  </r>
  <r>
    <x v="233"/>
    <x v="233"/>
    <x v="52"/>
    <x v="1"/>
    <x v="117"/>
    <x v="1"/>
    <x v="3"/>
  </r>
  <r>
    <x v="234"/>
    <x v="234"/>
    <x v="170"/>
    <x v="4"/>
    <x v="74"/>
    <x v="1"/>
    <x v="3"/>
  </r>
  <r>
    <x v="235"/>
    <x v="235"/>
    <x v="171"/>
    <x v="2"/>
    <x v="147"/>
    <x v="1"/>
    <x v="3"/>
  </r>
  <r>
    <x v="236"/>
    <x v="236"/>
    <x v="1"/>
    <x v="2"/>
    <x v="119"/>
    <x v="1"/>
    <x v="3"/>
  </r>
  <r>
    <x v="237"/>
    <x v="237"/>
    <x v="172"/>
    <x v="1"/>
    <x v="148"/>
    <x v="1"/>
    <x v="3"/>
  </r>
  <r>
    <x v="238"/>
    <x v="238"/>
    <x v="173"/>
    <x v="1"/>
    <x v="106"/>
    <x v="1"/>
    <x v="3"/>
  </r>
  <r>
    <x v="239"/>
    <x v="239"/>
    <x v="174"/>
    <x v="1"/>
    <x v="149"/>
    <x v="1"/>
    <x v="3"/>
  </r>
  <r>
    <x v="240"/>
    <x v="240"/>
    <x v="122"/>
    <x v="1"/>
    <x v="111"/>
    <x v="1"/>
    <x v="3"/>
  </r>
  <r>
    <x v="241"/>
    <x v="241"/>
    <x v="71"/>
    <x v="1"/>
    <x v="150"/>
    <x v="1"/>
    <x v="3"/>
  </r>
  <r>
    <x v="242"/>
    <x v="242"/>
    <x v="175"/>
    <x v="3"/>
    <x v="87"/>
    <x v="1"/>
    <x v="3"/>
  </r>
  <r>
    <x v="243"/>
    <x v="243"/>
    <x v="176"/>
    <x v="9"/>
    <x v="72"/>
    <x v="1"/>
    <x v="3"/>
  </r>
  <r>
    <x v="244"/>
    <x v="244"/>
    <x v="177"/>
    <x v="3"/>
    <x v="105"/>
    <x v="1"/>
    <x v="3"/>
  </r>
  <r>
    <x v="245"/>
    <x v="245"/>
    <x v="34"/>
    <x v="1"/>
    <x v="86"/>
    <x v="1"/>
    <x v="3"/>
  </r>
  <r>
    <x v="246"/>
    <x v="246"/>
    <x v="135"/>
    <x v="1"/>
    <x v="5"/>
    <x v="2"/>
    <x v="0"/>
  </r>
  <r>
    <x v="247"/>
    <x v="247"/>
    <x v="178"/>
    <x v="0"/>
    <x v="151"/>
    <x v="2"/>
    <x v="0"/>
  </r>
  <r>
    <x v="248"/>
    <x v="248"/>
    <x v="179"/>
    <x v="2"/>
    <x v="152"/>
    <x v="2"/>
    <x v="0"/>
  </r>
  <r>
    <x v="249"/>
    <x v="249"/>
    <x v="180"/>
    <x v="1"/>
    <x v="5"/>
    <x v="2"/>
    <x v="0"/>
  </r>
  <r>
    <x v="250"/>
    <x v="250"/>
    <x v="181"/>
    <x v="4"/>
    <x v="153"/>
    <x v="2"/>
    <x v="0"/>
  </r>
  <r>
    <x v="251"/>
    <x v="251"/>
    <x v="61"/>
    <x v="1"/>
    <x v="86"/>
    <x v="2"/>
    <x v="0"/>
  </r>
  <r>
    <x v="252"/>
    <x v="252"/>
    <x v="182"/>
    <x v="1"/>
    <x v="154"/>
    <x v="2"/>
    <x v="0"/>
  </r>
  <r>
    <x v="253"/>
    <x v="253"/>
    <x v="183"/>
    <x v="3"/>
    <x v="71"/>
    <x v="2"/>
    <x v="0"/>
  </r>
  <r>
    <x v="254"/>
    <x v="254"/>
    <x v="184"/>
    <x v="1"/>
    <x v="155"/>
    <x v="2"/>
    <x v="0"/>
  </r>
  <r>
    <x v="255"/>
    <x v="255"/>
    <x v="182"/>
    <x v="4"/>
    <x v="156"/>
    <x v="2"/>
    <x v="0"/>
  </r>
  <r>
    <x v="256"/>
    <x v="256"/>
    <x v="158"/>
    <x v="3"/>
    <x v="157"/>
    <x v="2"/>
    <x v="0"/>
  </r>
  <r>
    <x v="257"/>
    <x v="257"/>
    <x v="103"/>
    <x v="5"/>
    <x v="158"/>
    <x v="2"/>
    <x v="0"/>
  </r>
  <r>
    <x v="258"/>
    <x v="258"/>
    <x v="127"/>
    <x v="1"/>
    <x v="89"/>
    <x v="2"/>
    <x v="0"/>
  </r>
  <r>
    <x v="259"/>
    <x v="259"/>
    <x v="176"/>
    <x v="1"/>
    <x v="23"/>
    <x v="2"/>
    <x v="0"/>
  </r>
  <r>
    <x v="260"/>
    <x v="260"/>
    <x v="52"/>
    <x v="1"/>
    <x v="16"/>
    <x v="2"/>
    <x v="0"/>
  </r>
  <r>
    <x v="261"/>
    <x v="261"/>
    <x v="120"/>
    <x v="1"/>
    <x v="50"/>
    <x v="2"/>
    <x v="0"/>
  </r>
  <r>
    <x v="262"/>
    <x v="262"/>
    <x v="35"/>
    <x v="5"/>
    <x v="78"/>
    <x v="2"/>
    <x v="0"/>
  </r>
  <r>
    <x v="263"/>
    <x v="263"/>
    <x v="177"/>
    <x v="1"/>
    <x v="126"/>
    <x v="2"/>
    <x v="0"/>
  </r>
  <r>
    <x v="264"/>
    <x v="264"/>
    <x v="93"/>
    <x v="0"/>
    <x v="159"/>
    <x v="2"/>
    <x v="0"/>
  </r>
  <r>
    <x v="265"/>
    <x v="265"/>
    <x v="94"/>
    <x v="1"/>
    <x v="160"/>
    <x v="2"/>
    <x v="0"/>
  </r>
  <r>
    <x v="266"/>
    <x v="266"/>
    <x v="12"/>
    <x v="5"/>
    <x v="34"/>
    <x v="2"/>
    <x v="0"/>
  </r>
  <r>
    <x v="267"/>
    <x v="267"/>
    <x v="36"/>
    <x v="1"/>
    <x v="161"/>
    <x v="2"/>
    <x v="0"/>
  </r>
  <r>
    <x v="268"/>
    <x v="268"/>
    <x v="160"/>
    <x v="5"/>
    <x v="162"/>
    <x v="2"/>
    <x v="0"/>
  </r>
  <r>
    <x v="269"/>
    <x v="269"/>
    <x v="15"/>
    <x v="0"/>
    <x v="22"/>
    <x v="2"/>
    <x v="0"/>
  </r>
  <r>
    <x v="270"/>
    <x v="270"/>
    <x v="164"/>
    <x v="1"/>
    <x v="163"/>
    <x v="2"/>
    <x v="0"/>
  </r>
  <r>
    <x v="271"/>
    <x v="271"/>
    <x v="185"/>
    <x v="3"/>
    <x v="164"/>
    <x v="2"/>
    <x v="0"/>
  </r>
  <r>
    <x v="272"/>
    <x v="272"/>
    <x v="186"/>
    <x v="0"/>
    <x v="0"/>
    <x v="2"/>
    <x v="0"/>
  </r>
  <r>
    <x v="273"/>
    <x v="273"/>
    <x v="187"/>
    <x v="2"/>
    <x v="80"/>
    <x v="2"/>
    <x v="0"/>
  </r>
  <r>
    <x v="274"/>
    <x v="274"/>
    <x v="188"/>
    <x v="1"/>
    <x v="98"/>
    <x v="2"/>
    <x v="0"/>
  </r>
  <r>
    <x v="275"/>
    <x v="275"/>
    <x v="189"/>
    <x v="1"/>
    <x v="4"/>
    <x v="2"/>
    <x v="0"/>
  </r>
  <r>
    <x v="276"/>
    <x v="276"/>
    <x v="39"/>
    <x v="1"/>
    <x v="31"/>
    <x v="2"/>
    <x v="0"/>
  </r>
  <r>
    <x v="277"/>
    <x v="277"/>
    <x v="19"/>
    <x v="9"/>
    <x v="165"/>
    <x v="2"/>
    <x v="0"/>
  </r>
  <r>
    <x v="278"/>
    <x v="278"/>
    <x v="190"/>
    <x v="4"/>
    <x v="58"/>
    <x v="2"/>
    <x v="0"/>
  </r>
  <r>
    <x v="279"/>
    <x v="279"/>
    <x v="170"/>
    <x v="14"/>
    <x v="28"/>
    <x v="2"/>
    <x v="0"/>
  </r>
  <r>
    <x v="280"/>
    <x v="280"/>
    <x v="185"/>
    <x v="2"/>
    <x v="102"/>
    <x v="2"/>
    <x v="0"/>
  </r>
  <r>
    <x v="281"/>
    <x v="281"/>
    <x v="97"/>
    <x v="5"/>
    <x v="166"/>
    <x v="2"/>
    <x v="0"/>
  </r>
  <r>
    <x v="282"/>
    <x v="282"/>
    <x v="11"/>
    <x v="3"/>
    <x v="55"/>
    <x v="2"/>
    <x v="0"/>
  </r>
  <r>
    <x v="283"/>
    <x v="283"/>
    <x v="77"/>
    <x v="1"/>
    <x v="149"/>
    <x v="2"/>
    <x v="0"/>
  </r>
  <r>
    <x v="284"/>
    <x v="284"/>
    <x v="100"/>
    <x v="5"/>
    <x v="167"/>
    <x v="2"/>
    <x v="0"/>
  </r>
  <r>
    <x v="285"/>
    <x v="285"/>
    <x v="191"/>
    <x v="3"/>
    <x v="168"/>
    <x v="2"/>
    <x v="0"/>
  </r>
  <r>
    <x v="286"/>
    <x v="286"/>
    <x v="14"/>
    <x v="1"/>
    <x v="111"/>
    <x v="2"/>
    <x v="0"/>
  </r>
  <r>
    <x v="287"/>
    <x v="287"/>
    <x v="139"/>
    <x v="5"/>
    <x v="40"/>
    <x v="2"/>
    <x v="0"/>
  </r>
  <r>
    <x v="288"/>
    <x v="288"/>
    <x v="192"/>
    <x v="2"/>
    <x v="169"/>
    <x v="2"/>
    <x v="0"/>
  </r>
  <r>
    <x v="289"/>
    <x v="289"/>
    <x v="193"/>
    <x v="15"/>
    <x v="117"/>
    <x v="2"/>
    <x v="0"/>
  </r>
  <r>
    <x v="290"/>
    <x v="290"/>
    <x v="150"/>
    <x v="16"/>
    <x v="170"/>
    <x v="2"/>
    <x v="0"/>
  </r>
  <r>
    <x v="291"/>
    <x v="291"/>
    <x v="58"/>
    <x v="2"/>
    <x v="3"/>
    <x v="2"/>
    <x v="2"/>
  </r>
  <r>
    <x v="292"/>
    <x v="292"/>
    <x v="116"/>
    <x v="3"/>
    <x v="3"/>
    <x v="2"/>
    <x v="2"/>
  </r>
  <r>
    <x v="293"/>
    <x v="293"/>
    <x v="194"/>
    <x v="3"/>
    <x v="5"/>
    <x v="2"/>
    <x v="2"/>
  </r>
  <r>
    <x v="294"/>
    <x v="294"/>
    <x v="14"/>
    <x v="1"/>
    <x v="171"/>
    <x v="2"/>
    <x v="2"/>
  </r>
  <r>
    <x v="295"/>
    <x v="295"/>
    <x v="148"/>
    <x v="3"/>
    <x v="54"/>
    <x v="2"/>
    <x v="2"/>
  </r>
  <r>
    <x v="296"/>
    <x v="296"/>
    <x v="160"/>
    <x v="0"/>
    <x v="172"/>
    <x v="2"/>
    <x v="2"/>
  </r>
  <r>
    <x v="297"/>
    <x v="297"/>
    <x v="128"/>
    <x v="1"/>
    <x v="155"/>
    <x v="2"/>
    <x v="2"/>
  </r>
  <r>
    <x v="298"/>
    <x v="298"/>
    <x v="47"/>
    <x v="3"/>
    <x v="173"/>
    <x v="2"/>
    <x v="2"/>
  </r>
  <r>
    <x v="299"/>
    <x v="299"/>
    <x v="184"/>
    <x v="1"/>
    <x v="29"/>
    <x v="2"/>
    <x v="2"/>
  </r>
  <r>
    <x v="300"/>
    <x v="300"/>
    <x v="167"/>
    <x v="3"/>
    <x v="86"/>
    <x v="2"/>
    <x v="2"/>
  </r>
  <r>
    <x v="301"/>
    <x v="301"/>
    <x v="11"/>
    <x v="1"/>
    <x v="19"/>
    <x v="2"/>
    <x v="2"/>
  </r>
  <r>
    <x v="302"/>
    <x v="302"/>
    <x v="195"/>
    <x v="1"/>
    <x v="161"/>
    <x v="2"/>
    <x v="2"/>
  </r>
  <r>
    <x v="303"/>
    <x v="303"/>
    <x v="196"/>
    <x v="1"/>
    <x v="76"/>
    <x v="2"/>
    <x v="2"/>
  </r>
  <r>
    <x v="304"/>
    <x v="304"/>
    <x v="197"/>
    <x v="0"/>
    <x v="160"/>
    <x v="2"/>
    <x v="2"/>
  </r>
  <r>
    <x v="305"/>
    <x v="305"/>
    <x v="170"/>
    <x v="9"/>
    <x v="174"/>
    <x v="2"/>
    <x v="2"/>
  </r>
  <r>
    <x v="306"/>
    <x v="306"/>
    <x v="198"/>
    <x v="3"/>
    <x v="175"/>
    <x v="2"/>
    <x v="2"/>
  </r>
  <r>
    <x v="307"/>
    <x v="307"/>
    <x v="172"/>
    <x v="3"/>
    <x v="105"/>
    <x v="2"/>
    <x v="2"/>
  </r>
  <r>
    <x v="308"/>
    <x v="308"/>
    <x v="184"/>
    <x v="1"/>
    <x v="60"/>
    <x v="2"/>
    <x v="2"/>
  </r>
  <r>
    <x v="309"/>
    <x v="309"/>
    <x v="199"/>
    <x v="1"/>
    <x v="176"/>
    <x v="2"/>
    <x v="2"/>
  </r>
  <r>
    <x v="310"/>
    <x v="310"/>
    <x v="173"/>
    <x v="2"/>
    <x v="177"/>
    <x v="2"/>
    <x v="2"/>
  </r>
  <r>
    <x v="311"/>
    <x v="311"/>
    <x v="174"/>
    <x v="1"/>
    <x v="177"/>
    <x v="2"/>
    <x v="2"/>
  </r>
  <r>
    <x v="312"/>
    <x v="312"/>
    <x v="59"/>
    <x v="1"/>
    <x v="55"/>
    <x v="2"/>
    <x v="2"/>
  </r>
  <r>
    <x v="313"/>
    <x v="313"/>
    <x v="170"/>
    <x v="1"/>
    <x v="178"/>
    <x v="2"/>
    <x v="2"/>
  </r>
  <r>
    <x v="314"/>
    <x v="314"/>
    <x v="35"/>
    <x v="1"/>
    <x v="60"/>
    <x v="2"/>
    <x v="2"/>
  </r>
  <r>
    <x v="315"/>
    <x v="315"/>
    <x v="140"/>
    <x v="1"/>
    <x v="150"/>
    <x v="2"/>
    <x v="2"/>
  </r>
  <r>
    <x v="316"/>
    <x v="316"/>
    <x v="119"/>
    <x v="2"/>
    <x v="179"/>
    <x v="2"/>
    <x v="2"/>
  </r>
  <r>
    <x v="317"/>
    <x v="317"/>
    <x v="117"/>
    <x v="9"/>
    <x v="180"/>
    <x v="2"/>
    <x v="2"/>
  </r>
  <r>
    <x v="318"/>
    <x v="318"/>
    <x v="200"/>
    <x v="0"/>
    <x v="181"/>
    <x v="2"/>
    <x v="2"/>
  </r>
  <r>
    <x v="319"/>
    <x v="319"/>
    <x v="132"/>
    <x v="1"/>
    <x v="132"/>
    <x v="2"/>
    <x v="1"/>
  </r>
  <r>
    <x v="320"/>
    <x v="320"/>
    <x v="80"/>
    <x v="1"/>
    <x v="118"/>
    <x v="2"/>
    <x v="1"/>
  </r>
  <r>
    <x v="321"/>
    <x v="321"/>
    <x v="6"/>
    <x v="0"/>
    <x v="182"/>
    <x v="2"/>
    <x v="1"/>
  </r>
  <r>
    <x v="322"/>
    <x v="322"/>
    <x v="87"/>
    <x v="0"/>
    <x v="100"/>
    <x v="2"/>
    <x v="1"/>
  </r>
  <r>
    <x v="323"/>
    <x v="323"/>
    <x v="155"/>
    <x v="1"/>
    <x v="84"/>
    <x v="2"/>
    <x v="1"/>
  </r>
  <r>
    <x v="324"/>
    <x v="324"/>
    <x v="167"/>
    <x v="0"/>
    <x v="124"/>
    <x v="2"/>
    <x v="1"/>
  </r>
  <r>
    <x v="325"/>
    <x v="325"/>
    <x v="153"/>
    <x v="0"/>
    <x v="86"/>
    <x v="2"/>
    <x v="1"/>
  </r>
  <r>
    <x v="326"/>
    <x v="326"/>
    <x v="201"/>
    <x v="1"/>
    <x v="31"/>
    <x v="2"/>
    <x v="1"/>
  </r>
  <r>
    <x v="327"/>
    <x v="327"/>
    <x v="107"/>
    <x v="0"/>
    <x v="72"/>
    <x v="2"/>
    <x v="1"/>
  </r>
  <r>
    <x v="328"/>
    <x v="328"/>
    <x v="121"/>
    <x v="1"/>
    <x v="8"/>
    <x v="2"/>
    <x v="1"/>
  </r>
  <r>
    <x v="329"/>
    <x v="329"/>
    <x v="171"/>
    <x v="3"/>
    <x v="10"/>
    <x v="2"/>
    <x v="1"/>
  </r>
  <r>
    <x v="330"/>
    <x v="330"/>
    <x v="76"/>
    <x v="2"/>
    <x v="3"/>
    <x v="2"/>
    <x v="1"/>
  </r>
  <r>
    <x v="331"/>
    <x v="331"/>
    <x v="34"/>
    <x v="5"/>
    <x v="46"/>
    <x v="2"/>
    <x v="1"/>
  </r>
  <r>
    <x v="332"/>
    <x v="332"/>
    <x v="173"/>
    <x v="1"/>
    <x v="23"/>
    <x v="2"/>
    <x v="1"/>
  </r>
  <r>
    <x v="333"/>
    <x v="333"/>
    <x v="105"/>
    <x v="3"/>
    <x v="48"/>
    <x v="2"/>
    <x v="1"/>
  </r>
  <r>
    <x v="334"/>
    <x v="334"/>
    <x v="202"/>
    <x v="3"/>
    <x v="183"/>
    <x v="2"/>
    <x v="1"/>
  </r>
  <r>
    <x v="335"/>
    <x v="335"/>
    <x v="92"/>
    <x v="3"/>
    <x v="175"/>
    <x v="2"/>
    <x v="1"/>
  </r>
  <r>
    <x v="336"/>
    <x v="336"/>
    <x v="203"/>
    <x v="1"/>
    <x v="108"/>
    <x v="2"/>
    <x v="1"/>
  </r>
  <r>
    <x v="337"/>
    <x v="337"/>
    <x v="84"/>
    <x v="1"/>
    <x v="184"/>
    <x v="2"/>
    <x v="1"/>
  </r>
  <r>
    <x v="338"/>
    <x v="338"/>
    <x v="95"/>
    <x v="1"/>
    <x v="150"/>
    <x v="2"/>
    <x v="1"/>
  </r>
  <r>
    <x v="339"/>
    <x v="339"/>
    <x v="53"/>
    <x v="17"/>
    <x v="185"/>
    <x v="2"/>
    <x v="1"/>
  </r>
  <r>
    <x v="340"/>
    <x v="340"/>
    <x v="43"/>
    <x v="1"/>
    <x v="57"/>
    <x v="2"/>
    <x v="1"/>
  </r>
  <r>
    <x v="341"/>
    <x v="341"/>
    <x v="77"/>
    <x v="1"/>
    <x v="150"/>
    <x v="2"/>
    <x v="1"/>
  </r>
  <r>
    <x v="342"/>
    <x v="342"/>
    <x v="204"/>
    <x v="1"/>
    <x v="150"/>
    <x v="2"/>
    <x v="1"/>
  </r>
  <r>
    <x v="343"/>
    <x v="343"/>
    <x v="205"/>
    <x v="7"/>
    <x v="105"/>
    <x v="2"/>
    <x v="1"/>
  </r>
  <r>
    <x v="344"/>
    <x v="344"/>
    <x v="206"/>
    <x v="5"/>
    <x v="186"/>
    <x v="2"/>
    <x v="1"/>
  </r>
  <r>
    <x v="345"/>
    <x v="345"/>
    <x v="7"/>
    <x v="1"/>
    <x v="187"/>
    <x v="2"/>
    <x v="1"/>
  </r>
  <r>
    <x v="346"/>
    <x v="346"/>
    <x v="207"/>
    <x v="18"/>
    <x v="113"/>
    <x v="2"/>
    <x v="1"/>
  </r>
  <r>
    <x v="347"/>
    <x v="347"/>
    <x v="67"/>
    <x v="2"/>
    <x v="188"/>
    <x v="2"/>
    <x v="1"/>
  </r>
  <r>
    <x v="348"/>
    <x v="348"/>
    <x v="208"/>
    <x v="5"/>
    <x v="189"/>
    <x v="2"/>
    <x v="1"/>
  </r>
  <r>
    <x v="349"/>
    <x v="349"/>
    <x v="147"/>
    <x v="5"/>
    <x v="189"/>
    <x v="2"/>
    <x v="1"/>
  </r>
  <r>
    <x v="350"/>
    <x v="350"/>
    <x v="209"/>
    <x v="1"/>
    <x v="117"/>
    <x v="2"/>
    <x v="3"/>
  </r>
  <r>
    <x v="351"/>
    <x v="351"/>
    <x v="1"/>
    <x v="1"/>
    <x v="190"/>
    <x v="2"/>
    <x v="3"/>
  </r>
  <r>
    <x v="352"/>
    <x v="352"/>
    <x v="142"/>
    <x v="11"/>
    <x v="191"/>
    <x v="2"/>
    <x v="3"/>
  </r>
  <r>
    <x v="353"/>
    <x v="353"/>
    <x v="184"/>
    <x v="1"/>
    <x v="43"/>
    <x v="2"/>
    <x v="3"/>
  </r>
  <r>
    <x v="354"/>
    <x v="354"/>
    <x v="210"/>
    <x v="1"/>
    <x v="1"/>
    <x v="2"/>
    <x v="3"/>
  </r>
  <r>
    <x v="355"/>
    <x v="355"/>
    <x v="211"/>
    <x v="1"/>
    <x v="192"/>
    <x v="2"/>
    <x v="3"/>
  </r>
  <r>
    <x v="356"/>
    <x v="356"/>
    <x v="21"/>
    <x v="4"/>
    <x v="8"/>
    <x v="2"/>
    <x v="3"/>
  </r>
  <r>
    <x v="357"/>
    <x v="357"/>
    <x v="71"/>
    <x v="1"/>
    <x v="171"/>
    <x v="2"/>
    <x v="3"/>
  </r>
  <r>
    <x v="358"/>
    <x v="358"/>
    <x v="120"/>
    <x v="4"/>
    <x v="18"/>
    <x v="2"/>
    <x v="3"/>
  </r>
  <r>
    <x v="359"/>
    <x v="359"/>
    <x v="212"/>
    <x v="1"/>
    <x v="193"/>
    <x v="2"/>
    <x v="3"/>
  </r>
  <r>
    <x v="360"/>
    <x v="360"/>
    <x v="164"/>
    <x v="1"/>
    <x v="111"/>
    <x v="2"/>
    <x v="3"/>
  </r>
  <r>
    <x v="361"/>
    <x v="361"/>
    <x v="204"/>
    <x v="1"/>
    <x v="150"/>
    <x v="2"/>
    <x v="3"/>
  </r>
  <r>
    <x v="362"/>
    <x v="362"/>
    <x v="15"/>
    <x v="1"/>
    <x v="60"/>
    <x v="2"/>
    <x v="3"/>
  </r>
  <r>
    <x v="363"/>
    <x v="363"/>
    <x v="67"/>
    <x v="1"/>
    <x v="194"/>
    <x v="2"/>
    <x v="3"/>
  </r>
  <r>
    <x v="364"/>
    <x v="364"/>
    <x v="213"/>
    <x v="1"/>
    <x v="57"/>
    <x v="2"/>
    <x v="3"/>
  </r>
  <r>
    <x v="365"/>
    <x v="365"/>
    <x v="202"/>
    <x v="3"/>
    <x v="105"/>
    <x v="2"/>
    <x v="3"/>
  </r>
  <r>
    <x v="366"/>
    <x v="366"/>
    <x v="26"/>
    <x v="1"/>
    <x v="195"/>
    <x v="2"/>
    <x v="3"/>
  </r>
  <r>
    <x v="367"/>
    <x v="367"/>
    <x v="29"/>
    <x v="0"/>
    <x v="111"/>
    <x v="2"/>
    <x v="3"/>
  </r>
  <r>
    <x v="368"/>
    <x v="368"/>
    <x v="15"/>
    <x v="3"/>
    <x v="153"/>
    <x v="2"/>
    <x v="3"/>
  </r>
  <r>
    <x v="369"/>
    <x v="369"/>
    <x v="214"/>
    <x v="8"/>
    <x v="35"/>
    <x v="2"/>
    <x v="3"/>
  </r>
  <r>
    <x v="370"/>
    <x v="370"/>
    <x v="215"/>
    <x v="1"/>
    <x v="1"/>
    <x v="3"/>
    <x v="0"/>
  </r>
  <r>
    <x v="371"/>
    <x v="371"/>
    <x v="155"/>
    <x v="3"/>
    <x v="123"/>
    <x v="3"/>
    <x v="0"/>
  </r>
  <r>
    <x v="372"/>
    <x v="372"/>
    <x v="216"/>
    <x v="4"/>
    <x v="19"/>
    <x v="3"/>
    <x v="0"/>
  </r>
  <r>
    <x v="373"/>
    <x v="373"/>
    <x v="20"/>
    <x v="1"/>
    <x v="46"/>
    <x v="3"/>
    <x v="0"/>
  </r>
  <r>
    <x v="374"/>
    <x v="374"/>
    <x v="156"/>
    <x v="1"/>
    <x v="31"/>
    <x v="3"/>
    <x v="0"/>
  </r>
  <r>
    <x v="375"/>
    <x v="375"/>
    <x v="209"/>
    <x v="1"/>
    <x v="161"/>
    <x v="3"/>
    <x v="0"/>
  </r>
  <r>
    <x v="376"/>
    <x v="376"/>
    <x v="188"/>
    <x v="1"/>
    <x v="74"/>
    <x v="3"/>
    <x v="0"/>
  </r>
  <r>
    <x v="377"/>
    <x v="377"/>
    <x v="217"/>
    <x v="1"/>
    <x v="5"/>
    <x v="3"/>
    <x v="0"/>
  </r>
  <r>
    <x v="378"/>
    <x v="378"/>
    <x v="218"/>
    <x v="0"/>
    <x v="1"/>
    <x v="3"/>
    <x v="0"/>
  </r>
  <r>
    <x v="379"/>
    <x v="379"/>
    <x v="8"/>
    <x v="3"/>
    <x v="29"/>
    <x v="3"/>
    <x v="0"/>
  </r>
  <r>
    <x v="380"/>
    <x v="380"/>
    <x v="114"/>
    <x v="1"/>
    <x v="86"/>
    <x v="3"/>
    <x v="0"/>
  </r>
  <r>
    <x v="381"/>
    <x v="381"/>
    <x v="219"/>
    <x v="1"/>
    <x v="31"/>
    <x v="3"/>
    <x v="0"/>
  </r>
  <r>
    <x v="382"/>
    <x v="382"/>
    <x v="116"/>
    <x v="3"/>
    <x v="196"/>
    <x v="3"/>
    <x v="0"/>
  </r>
  <r>
    <x v="383"/>
    <x v="383"/>
    <x v="47"/>
    <x v="1"/>
    <x v="13"/>
    <x v="3"/>
    <x v="0"/>
  </r>
  <r>
    <x v="384"/>
    <x v="384"/>
    <x v="52"/>
    <x v="5"/>
    <x v="32"/>
    <x v="3"/>
    <x v="0"/>
  </r>
  <r>
    <x v="385"/>
    <x v="385"/>
    <x v="141"/>
    <x v="0"/>
    <x v="98"/>
    <x v="3"/>
    <x v="0"/>
  </r>
  <r>
    <x v="386"/>
    <x v="386"/>
    <x v="25"/>
    <x v="6"/>
    <x v="17"/>
    <x v="3"/>
    <x v="0"/>
  </r>
  <r>
    <x v="387"/>
    <x v="387"/>
    <x v="170"/>
    <x v="1"/>
    <x v="87"/>
    <x v="3"/>
    <x v="0"/>
  </r>
  <r>
    <x v="388"/>
    <x v="388"/>
    <x v="13"/>
    <x v="0"/>
    <x v="86"/>
    <x v="3"/>
    <x v="0"/>
  </r>
  <r>
    <x v="389"/>
    <x v="389"/>
    <x v="123"/>
    <x v="5"/>
    <x v="34"/>
    <x v="3"/>
    <x v="0"/>
  </r>
  <r>
    <x v="390"/>
    <x v="390"/>
    <x v="149"/>
    <x v="1"/>
    <x v="197"/>
    <x v="3"/>
    <x v="0"/>
  </r>
  <r>
    <x v="391"/>
    <x v="391"/>
    <x v="197"/>
    <x v="17"/>
    <x v="76"/>
    <x v="3"/>
    <x v="0"/>
  </r>
  <r>
    <x v="392"/>
    <x v="392"/>
    <x v="80"/>
    <x v="1"/>
    <x v="198"/>
    <x v="3"/>
    <x v="0"/>
  </r>
  <r>
    <x v="393"/>
    <x v="393"/>
    <x v="80"/>
    <x v="1"/>
    <x v="161"/>
    <x v="3"/>
    <x v="0"/>
  </r>
  <r>
    <x v="394"/>
    <x v="394"/>
    <x v="76"/>
    <x v="3"/>
    <x v="172"/>
    <x v="3"/>
    <x v="0"/>
  </r>
  <r>
    <x v="395"/>
    <x v="395"/>
    <x v="134"/>
    <x v="0"/>
    <x v="100"/>
    <x v="3"/>
    <x v="0"/>
  </r>
  <r>
    <x v="396"/>
    <x v="396"/>
    <x v="220"/>
    <x v="9"/>
    <x v="197"/>
    <x v="3"/>
    <x v="0"/>
  </r>
  <r>
    <x v="397"/>
    <x v="397"/>
    <x v="219"/>
    <x v="3"/>
    <x v="116"/>
    <x v="3"/>
    <x v="0"/>
  </r>
  <r>
    <x v="398"/>
    <x v="398"/>
    <x v="107"/>
    <x v="1"/>
    <x v="199"/>
    <x v="3"/>
    <x v="0"/>
  </r>
  <r>
    <x v="399"/>
    <x v="399"/>
    <x v="73"/>
    <x v="1"/>
    <x v="149"/>
    <x v="3"/>
    <x v="0"/>
  </r>
  <r>
    <x v="400"/>
    <x v="400"/>
    <x v="102"/>
    <x v="5"/>
    <x v="200"/>
    <x v="3"/>
    <x v="0"/>
  </r>
  <r>
    <x v="401"/>
    <x v="401"/>
    <x v="221"/>
    <x v="1"/>
    <x v="149"/>
    <x v="3"/>
    <x v="0"/>
  </r>
  <r>
    <x v="402"/>
    <x v="402"/>
    <x v="222"/>
    <x v="8"/>
    <x v="201"/>
    <x v="3"/>
    <x v="0"/>
  </r>
  <r>
    <x v="403"/>
    <x v="403"/>
    <x v="223"/>
    <x v="2"/>
    <x v="202"/>
    <x v="3"/>
    <x v="0"/>
  </r>
  <r>
    <x v="404"/>
    <x v="404"/>
    <x v="181"/>
    <x v="0"/>
    <x v="182"/>
    <x v="3"/>
    <x v="2"/>
  </r>
  <r>
    <x v="405"/>
    <x v="405"/>
    <x v="196"/>
    <x v="3"/>
    <x v="203"/>
    <x v="3"/>
    <x v="2"/>
  </r>
  <r>
    <x v="406"/>
    <x v="406"/>
    <x v="183"/>
    <x v="1"/>
    <x v="197"/>
    <x v="3"/>
    <x v="2"/>
  </r>
  <r>
    <x v="407"/>
    <x v="407"/>
    <x v="169"/>
    <x v="2"/>
    <x v="83"/>
    <x v="3"/>
    <x v="2"/>
  </r>
  <r>
    <x v="408"/>
    <x v="408"/>
    <x v="224"/>
    <x v="3"/>
    <x v="31"/>
    <x v="3"/>
    <x v="2"/>
  </r>
  <r>
    <x v="409"/>
    <x v="409"/>
    <x v="225"/>
    <x v="3"/>
    <x v="43"/>
    <x v="3"/>
    <x v="2"/>
  </r>
  <r>
    <x v="410"/>
    <x v="410"/>
    <x v="61"/>
    <x v="5"/>
    <x v="204"/>
    <x v="3"/>
    <x v="2"/>
  </r>
  <r>
    <x v="411"/>
    <x v="411"/>
    <x v="226"/>
    <x v="3"/>
    <x v="205"/>
    <x v="3"/>
    <x v="2"/>
  </r>
  <r>
    <x v="412"/>
    <x v="412"/>
    <x v="120"/>
    <x v="5"/>
    <x v="29"/>
    <x v="3"/>
    <x v="2"/>
  </r>
  <r>
    <x v="413"/>
    <x v="413"/>
    <x v="73"/>
    <x v="3"/>
    <x v="10"/>
    <x v="3"/>
    <x v="2"/>
  </r>
  <r>
    <x v="414"/>
    <x v="414"/>
    <x v="83"/>
    <x v="3"/>
    <x v="86"/>
    <x v="3"/>
    <x v="2"/>
  </r>
  <r>
    <x v="415"/>
    <x v="415"/>
    <x v="207"/>
    <x v="2"/>
    <x v="206"/>
    <x v="3"/>
    <x v="2"/>
  </r>
  <r>
    <x v="416"/>
    <x v="416"/>
    <x v="227"/>
    <x v="3"/>
    <x v="155"/>
    <x v="3"/>
    <x v="2"/>
  </r>
  <r>
    <x v="417"/>
    <x v="417"/>
    <x v="16"/>
    <x v="7"/>
    <x v="102"/>
    <x v="3"/>
    <x v="2"/>
  </r>
  <r>
    <x v="418"/>
    <x v="418"/>
    <x v="73"/>
    <x v="1"/>
    <x v="207"/>
    <x v="3"/>
    <x v="2"/>
  </r>
  <r>
    <x v="419"/>
    <x v="419"/>
    <x v="228"/>
    <x v="1"/>
    <x v="208"/>
    <x v="3"/>
    <x v="2"/>
  </r>
  <r>
    <x v="420"/>
    <x v="420"/>
    <x v="74"/>
    <x v="1"/>
    <x v="112"/>
    <x v="3"/>
    <x v="2"/>
  </r>
  <r>
    <x v="421"/>
    <x v="421"/>
    <x v="147"/>
    <x v="3"/>
    <x v="209"/>
    <x v="3"/>
    <x v="2"/>
  </r>
  <r>
    <x v="422"/>
    <x v="422"/>
    <x v="72"/>
    <x v="3"/>
    <x v="210"/>
    <x v="3"/>
    <x v="2"/>
  </r>
  <r>
    <x v="423"/>
    <x v="423"/>
    <x v="175"/>
    <x v="1"/>
    <x v="111"/>
    <x v="3"/>
    <x v="2"/>
  </r>
  <r>
    <x v="424"/>
    <x v="424"/>
    <x v="85"/>
    <x v="1"/>
    <x v="211"/>
    <x v="3"/>
    <x v="2"/>
  </r>
  <r>
    <x v="425"/>
    <x v="425"/>
    <x v="229"/>
    <x v="9"/>
    <x v="212"/>
    <x v="3"/>
    <x v="2"/>
  </r>
  <r>
    <x v="426"/>
    <x v="426"/>
    <x v="116"/>
    <x v="0"/>
    <x v="182"/>
    <x v="3"/>
    <x v="2"/>
  </r>
  <r>
    <x v="427"/>
    <x v="427"/>
    <x v="230"/>
    <x v="18"/>
    <x v="3"/>
    <x v="3"/>
    <x v="1"/>
  </r>
  <r>
    <x v="428"/>
    <x v="428"/>
    <x v="231"/>
    <x v="1"/>
    <x v="1"/>
    <x v="3"/>
    <x v="1"/>
  </r>
  <r>
    <x v="429"/>
    <x v="429"/>
    <x v="127"/>
    <x v="1"/>
    <x v="5"/>
    <x v="3"/>
    <x v="1"/>
  </r>
  <r>
    <x v="430"/>
    <x v="430"/>
    <x v="2"/>
    <x v="0"/>
    <x v="118"/>
    <x v="3"/>
    <x v="1"/>
  </r>
  <r>
    <x v="431"/>
    <x v="431"/>
    <x v="232"/>
    <x v="0"/>
    <x v="43"/>
    <x v="3"/>
    <x v="1"/>
  </r>
  <r>
    <x v="432"/>
    <x v="432"/>
    <x v="76"/>
    <x v="4"/>
    <x v="0"/>
    <x v="3"/>
    <x v="1"/>
  </r>
  <r>
    <x v="433"/>
    <x v="433"/>
    <x v="181"/>
    <x v="3"/>
    <x v="71"/>
    <x v="3"/>
    <x v="1"/>
  </r>
  <r>
    <x v="434"/>
    <x v="434"/>
    <x v="49"/>
    <x v="3"/>
    <x v="100"/>
    <x v="3"/>
    <x v="1"/>
  </r>
  <r>
    <x v="435"/>
    <x v="435"/>
    <x v="97"/>
    <x v="1"/>
    <x v="92"/>
    <x v="3"/>
    <x v="1"/>
  </r>
  <r>
    <x v="436"/>
    <x v="436"/>
    <x v="134"/>
    <x v="2"/>
    <x v="74"/>
    <x v="3"/>
    <x v="1"/>
  </r>
  <r>
    <x v="437"/>
    <x v="437"/>
    <x v="194"/>
    <x v="4"/>
    <x v="46"/>
    <x v="3"/>
    <x v="1"/>
  </r>
  <r>
    <x v="438"/>
    <x v="438"/>
    <x v="227"/>
    <x v="2"/>
    <x v="213"/>
    <x v="3"/>
    <x v="1"/>
  </r>
  <r>
    <x v="439"/>
    <x v="439"/>
    <x v="182"/>
    <x v="5"/>
    <x v="33"/>
    <x v="3"/>
    <x v="1"/>
  </r>
  <r>
    <x v="440"/>
    <x v="440"/>
    <x v="154"/>
    <x v="0"/>
    <x v="86"/>
    <x v="3"/>
    <x v="1"/>
  </r>
  <r>
    <x v="441"/>
    <x v="441"/>
    <x v="173"/>
    <x v="3"/>
    <x v="214"/>
    <x v="3"/>
    <x v="1"/>
  </r>
  <r>
    <x v="442"/>
    <x v="442"/>
    <x v="65"/>
    <x v="0"/>
    <x v="54"/>
    <x v="3"/>
    <x v="1"/>
  </r>
  <r>
    <x v="443"/>
    <x v="443"/>
    <x v="100"/>
    <x v="1"/>
    <x v="46"/>
    <x v="3"/>
    <x v="1"/>
  </r>
  <r>
    <x v="444"/>
    <x v="444"/>
    <x v="233"/>
    <x v="3"/>
    <x v="52"/>
    <x v="3"/>
    <x v="1"/>
  </r>
  <r>
    <x v="445"/>
    <x v="445"/>
    <x v="234"/>
    <x v="3"/>
    <x v="105"/>
    <x v="3"/>
    <x v="1"/>
  </r>
  <r>
    <x v="446"/>
    <x v="446"/>
    <x v="28"/>
    <x v="1"/>
    <x v="111"/>
    <x v="3"/>
    <x v="1"/>
  </r>
  <r>
    <x v="447"/>
    <x v="447"/>
    <x v="235"/>
    <x v="1"/>
    <x v="111"/>
    <x v="3"/>
    <x v="1"/>
  </r>
  <r>
    <x v="448"/>
    <x v="448"/>
    <x v="236"/>
    <x v="7"/>
    <x v="105"/>
    <x v="3"/>
    <x v="1"/>
  </r>
  <r>
    <x v="449"/>
    <x v="449"/>
    <x v="210"/>
    <x v="1"/>
    <x v="197"/>
    <x v="3"/>
    <x v="1"/>
  </r>
  <r>
    <x v="450"/>
    <x v="450"/>
    <x v="237"/>
    <x v="3"/>
    <x v="105"/>
    <x v="3"/>
    <x v="1"/>
  </r>
  <r>
    <x v="451"/>
    <x v="451"/>
    <x v="63"/>
    <x v="1"/>
    <x v="145"/>
    <x v="3"/>
    <x v="3"/>
  </r>
  <r>
    <x v="452"/>
    <x v="452"/>
    <x v="91"/>
    <x v="1"/>
    <x v="198"/>
    <x v="3"/>
    <x v="3"/>
  </r>
  <r>
    <x v="453"/>
    <x v="453"/>
    <x v="74"/>
    <x v="1"/>
    <x v="83"/>
    <x v="3"/>
    <x v="3"/>
  </r>
  <r>
    <x v="454"/>
    <x v="454"/>
    <x v="238"/>
    <x v="0"/>
    <x v="43"/>
    <x v="3"/>
    <x v="3"/>
  </r>
  <r>
    <x v="455"/>
    <x v="455"/>
    <x v="213"/>
    <x v="1"/>
    <x v="46"/>
    <x v="3"/>
    <x v="3"/>
  </r>
  <r>
    <x v="456"/>
    <x v="456"/>
    <x v="169"/>
    <x v="3"/>
    <x v="81"/>
    <x v="3"/>
    <x v="3"/>
  </r>
  <r>
    <x v="457"/>
    <x v="457"/>
    <x v="31"/>
    <x v="1"/>
    <x v="46"/>
    <x v="3"/>
    <x v="3"/>
  </r>
  <r>
    <x v="458"/>
    <x v="458"/>
    <x v="204"/>
    <x v="1"/>
    <x v="20"/>
    <x v="3"/>
    <x v="3"/>
  </r>
  <r>
    <x v="459"/>
    <x v="459"/>
    <x v="165"/>
    <x v="4"/>
    <x v="24"/>
    <x v="3"/>
    <x v="3"/>
  </r>
  <r>
    <x v="460"/>
    <x v="460"/>
    <x v="36"/>
    <x v="1"/>
    <x v="160"/>
    <x v="3"/>
    <x v="3"/>
  </r>
  <r>
    <x v="461"/>
    <x v="461"/>
    <x v="8"/>
    <x v="1"/>
    <x v="215"/>
    <x v="3"/>
    <x v="3"/>
  </r>
  <r>
    <x v="462"/>
    <x v="462"/>
    <x v="239"/>
    <x v="1"/>
    <x v="216"/>
    <x v="3"/>
    <x v="3"/>
  </r>
  <r>
    <x v="463"/>
    <x v="463"/>
    <x v="123"/>
    <x v="1"/>
    <x v="217"/>
    <x v="3"/>
    <x v="3"/>
  </r>
  <r>
    <x v="464"/>
    <x v="464"/>
    <x v="200"/>
    <x v="7"/>
    <x v="102"/>
    <x v="3"/>
    <x v="3"/>
  </r>
  <r>
    <x v="465"/>
    <x v="465"/>
    <x v="240"/>
    <x v="1"/>
    <x v="110"/>
    <x v="3"/>
    <x v="3"/>
  </r>
  <r>
    <x v="466"/>
    <x v="466"/>
    <x v="11"/>
    <x v="0"/>
    <x v="218"/>
    <x v="3"/>
    <x v="3"/>
  </r>
  <r>
    <x v="467"/>
    <x v="467"/>
    <x v="32"/>
    <x v="1"/>
    <x v="219"/>
    <x v="3"/>
    <x v="3"/>
  </r>
  <r>
    <x v="468"/>
    <x v="468"/>
    <x v="241"/>
    <x v="3"/>
    <x v="105"/>
    <x v="3"/>
    <x v="3"/>
  </r>
  <r>
    <x v="469"/>
    <x v="469"/>
    <x v="149"/>
    <x v="3"/>
    <x v="31"/>
    <x v="3"/>
    <x v="3"/>
  </r>
  <r>
    <x v="470"/>
    <x v="470"/>
    <x v="16"/>
    <x v="1"/>
    <x v="110"/>
    <x v="3"/>
    <x v="3"/>
  </r>
  <r>
    <x v="471"/>
    <x v="471"/>
    <x v="242"/>
    <x v="1"/>
    <x v="199"/>
    <x v="3"/>
    <x v="3"/>
  </r>
  <r>
    <x v="472"/>
    <x v="472"/>
    <x v="243"/>
    <x v="3"/>
    <x v="220"/>
    <x v="3"/>
    <x v="3"/>
  </r>
  <r>
    <x v="473"/>
    <x v="473"/>
    <x v="188"/>
    <x v="1"/>
    <x v="145"/>
    <x v="3"/>
    <x v="3"/>
  </r>
  <r>
    <x v="474"/>
    <x v="474"/>
    <x v="183"/>
    <x v="1"/>
    <x v="132"/>
    <x v="4"/>
    <x v="0"/>
  </r>
  <r>
    <x v="475"/>
    <x v="475"/>
    <x v="244"/>
    <x v="1"/>
    <x v="1"/>
    <x v="4"/>
    <x v="0"/>
  </r>
  <r>
    <x v="476"/>
    <x v="476"/>
    <x v="195"/>
    <x v="4"/>
    <x v="84"/>
    <x v="4"/>
    <x v="0"/>
  </r>
  <r>
    <x v="477"/>
    <x v="477"/>
    <x v="86"/>
    <x v="1"/>
    <x v="221"/>
    <x v="4"/>
    <x v="0"/>
  </r>
  <r>
    <x v="478"/>
    <x v="478"/>
    <x v="3"/>
    <x v="1"/>
    <x v="161"/>
    <x v="4"/>
    <x v="0"/>
  </r>
  <r>
    <x v="479"/>
    <x v="479"/>
    <x v="212"/>
    <x v="1"/>
    <x v="86"/>
    <x v="4"/>
    <x v="0"/>
  </r>
  <r>
    <x v="480"/>
    <x v="480"/>
    <x v="103"/>
    <x v="1"/>
    <x v="222"/>
    <x v="4"/>
    <x v="0"/>
  </r>
  <r>
    <x v="481"/>
    <x v="481"/>
    <x v="3"/>
    <x v="7"/>
    <x v="8"/>
    <x v="4"/>
    <x v="0"/>
  </r>
  <r>
    <x v="482"/>
    <x v="482"/>
    <x v="245"/>
    <x v="9"/>
    <x v="84"/>
    <x v="4"/>
    <x v="0"/>
  </r>
  <r>
    <x v="483"/>
    <x v="483"/>
    <x v="246"/>
    <x v="3"/>
    <x v="71"/>
    <x v="4"/>
    <x v="0"/>
  </r>
  <r>
    <x v="484"/>
    <x v="484"/>
    <x v="137"/>
    <x v="1"/>
    <x v="20"/>
    <x v="4"/>
    <x v="0"/>
  </r>
  <r>
    <x v="485"/>
    <x v="485"/>
    <x v="247"/>
    <x v="0"/>
    <x v="54"/>
    <x v="4"/>
    <x v="0"/>
  </r>
  <r>
    <x v="486"/>
    <x v="486"/>
    <x v="113"/>
    <x v="2"/>
    <x v="5"/>
    <x v="4"/>
    <x v="0"/>
  </r>
  <r>
    <x v="487"/>
    <x v="487"/>
    <x v="208"/>
    <x v="2"/>
    <x v="27"/>
    <x v="4"/>
    <x v="0"/>
  </r>
  <r>
    <x v="488"/>
    <x v="488"/>
    <x v="67"/>
    <x v="1"/>
    <x v="101"/>
    <x v="4"/>
    <x v="0"/>
  </r>
  <r>
    <x v="489"/>
    <x v="489"/>
    <x v="232"/>
    <x v="9"/>
    <x v="46"/>
    <x v="4"/>
    <x v="0"/>
  </r>
  <r>
    <x v="490"/>
    <x v="490"/>
    <x v="55"/>
    <x v="8"/>
    <x v="223"/>
    <x v="4"/>
    <x v="0"/>
  </r>
  <r>
    <x v="491"/>
    <x v="491"/>
    <x v="248"/>
    <x v="17"/>
    <x v="224"/>
    <x v="4"/>
    <x v="0"/>
  </r>
  <r>
    <x v="492"/>
    <x v="492"/>
    <x v="249"/>
    <x v="0"/>
    <x v="225"/>
    <x v="4"/>
    <x v="0"/>
  </r>
  <r>
    <x v="493"/>
    <x v="493"/>
    <x v="73"/>
    <x v="1"/>
    <x v="226"/>
    <x v="4"/>
    <x v="0"/>
  </r>
  <r>
    <x v="494"/>
    <x v="494"/>
    <x v="250"/>
    <x v="9"/>
    <x v="227"/>
    <x v="4"/>
    <x v="0"/>
  </r>
  <r>
    <x v="495"/>
    <x v="495"/>
    <x v="251"/>
    <x v="3"/>
    <x v="220"/>
    <x v="4"/>
    <x v="0"/>
  </r>
  <r>
    <x v="496"/>
    <x v="496"/>
    <x v="252"/>
    <x v="3"/>
    <x v="105"/>
    <x v="4"/>
    <x v="0"/>
  </r>
  <r>
    <x v="497"/>
    <x v="497"/>
    <x v="253"/>
    <x v="2"/>
    <x v="152"/>
    <x v="4"/>
    <x v="2"/>
  </r>
  <r>
    <x v="498"/>
    <x v="498"/>
    <x v="68"/>
    <x v="4"/>
    <x v="46"/>
    <x v="4"/>
    <x v="2"/>
  </r>
  <r>
    <x v="499"/>
    <x v="499"/>
    <x v="63"/>
    <x v="1"/>
    <x v="0"/>
    <x v="4"/>
    <x v="2"/>
  </r>
  <r>
    <x v="500"/>
    <x v="500"/>
    <x v="5"/>
    <x v="1"/>
    <x v="5"/>
    <x v="4"/>
    <x v="2"/>
  </r>
  <r>
    <x v="501"/>
    <x v="501"/>
    <x v="254"/>
    <x v="0"/>
    <x v="83"/>
    <x v="4"/>
    <x v="2"/>
  </r>
  <r>
    <x v="502"/>
    <x v="502"/>
    <x v="14"/>
    <x v="3"/>
    <x v="205"/>
    <x v="4"/>
    <x v="2"/>
  </r>
  <r>
    <x v="503"/>
    <x v="503"/>
    <x v="157"/>
    <x v="3"/>
    <x v="43"/>
    <x v="4"/>
    <x v="2"/>
  </r>
  <r>
    <x v="504"/>
    <x v="504"/>
    <x v="76"/>
    <x v="1"/>
    <x v="86"/>
    <x v="4"/>
    <x v="2"/>
  </r>
  <r>
    <x v="505"/>
    <x v="505"/>
    <x v="255"/>
    <x v="5"/>
    <x v="32"/>
    <x v="4"/>
    <x v="2"/>
  </r>
  <r>
    <x v="506"/>
    <x v="506"/>
    <x v="189"/>
    <x v="9"/>
    <x v="228"/>
    <x v="4"/>
    <x v="2"/>
  </r>
  <r>
    <x v="507"/>
    <x v="507"/>
    <x v="72"/>
    <x v="1"/>
    <x v="229"/>
    <x v="4"/>
    <x v="2"/>
  </r>
  <r>
    <x v="508"/>
    <x v="508"/>
    <x v="132"/>
    <x v="5"/>
    <x v="84"/>
    <x v="4"/>
    <x v="2"/>
  </r>
  <r>
    <x v="509"/>
    <x v="509"/>
    <x v="256"/>
    <x v="1"/>
    <x v="4"/>
    <x v="4"/>
    <x v="2"/>
  </r>
  <r>
    <x v="510"/>
    <x v="510"/>
    <x v="135"/>
    <x v="1"/>
    <x v="130"/>
    <x v="4"/>
    <x v="2"/>
  </r>
  <r>
    <x v="511"/>
    <x v="511"/>
    <x v="182"/>
    <x v="1"/>
    <x v="64"/>
    <x v="4"/>
    <x v="2"/>
  </r>
  <r>
    <x v="512"/>
    <x v="512"/>
    <x v="108"/>
    <x v="1"/>
    <x v="230"/>
    <x v="4"/>
    <x v="2"/>
  </r>
  <r>
    <x v="513"/>
    <x v="513"/>
    <x v="176"/>
    <x v="3"/>
    <x v="142"/>
    <x v="4"/>
    <x v="2"/>
  </r>
  <r>
    <x v="514"/>
    <x v="514"/>
    <x v="32"/>
    <x v="1"/>
    <x v="149"/>
    <x v="4"/>
    <x v="2"/>
  </r>
  <r>
    <x v="515"/>
    <x v="515"/>
    <x v="149"/>
    <x v="9"/>
    <x v="231"/>
    <x v="4"/>
    <x v="2"/>
  </r>
  <r>
    <x v="516"/>
    <x v="516"/>
    <x v="72"/>
    <x v="1"/>
    <x v="232"/>
    <x v="4"/>
    <x v="2"/>
  </r>
  <r>
    <x v="517"/>
    <x v="517"/>
    <x v="190"/>
    <x v="2"/>
    <x v="233"/>
    <x v="4"/>
    <x v="2"/>
  </r>
  <r>
    <x v="518"/>
    <x v="518"/>
    <x v="197"/>
    <x v="0"/>
    <x v="43"/>
    <x v="4"/>
    <x v="2"/>
  </r>
  <r>
    <x v="519"/>
    <x v="519"/>
    <x v="41"/>
    <x v="5"/>
    <x v="189"/>
    <x v="4"/>
    <x v="2"/>
  </r>
  <r>
    <x v="520"/>
    <x v="520"/>
    <x v="209"/>
    <x v="1"/>
    <x v="145"/>
    <x v="4"/>
    <x v="1"/>
  </r>
  <r>
    <x v="521"/>
    <x v="521"/>
    <x v="257"/>
    <x v="1"/>
    <x v="234"/>
    <x v="4"/>
    <x v="1"/>
  </r>
  <r>
    <x v="522"/>
    <x v="522"/>
    <x v="190"/>
    <x v="3"/>
    <x v="29"/>
    <x v="4"/>
    <x v="1"/>
  </r>
  <r>
    <x v="523"/>
    <x v="523"/>
    <x v="196"/>
    <x v="19"/>
    <x v="23"/>
    <x v="4"/>
    <x v="1"/>
  </r>
  <r>
    <x v="524"/>
    <x v="524"/>
    <x v="12"/>
    <x v="3"/>
    <x v="28"/>
    <x v="4"/>
    <x v="1"/>
  </r>
  <r>
    <x v="525"/>
    <x v="525"/>
    <x v="86"/>
    <x v="1"/>
    <x v="156"/>
    <x v="4"/>
    <x v="1"/>
  </r>
  <r>
    <x v="526"/>
    <x v="526"/>
    <x v="258"/>
    <x v="1"/>
    <x v="22"/>
    <x v="4"/>
    <x v="1"/>
  </r>
  <r>
    <x v="527"/>
    <x v="527"/>
    <x v="243"/>
    <x v="1"/>
    <x v="157"/>
    <x v="4"/>
    <x v="1"/>
  </r>
  <r>
    <x v="528"/>
    <x v="528"/>
    <x v="231"/>
    <x v="3"/>
    <x v="74"/>
    <x v="4"/>
    <x v="1"/>
  </r>
  <r>
    <x v="529"/>
    <x v="529"/>
    <x v="259"/>
    <x v="1"/>
    <x v="235"/>
    <x v="4"/>
    <x v="1"/>
  </r>
  <r>
    <x v="530"/>
    <x v="530"/>
    <x v="251"/>
    <x v="1"/>
    <x v="111"/>
    <x v="4"/>
    <x v="1"/>
  </r>
  <r>
    <x v="531"/>
    <x v="531"/>
    <x v="260"/>
    <x v="9"/>
    <x v="236"/>
    <x v="4"/>
    <x v="1"/>
  </r>
  <r>
    <x v="532"/>
    <x v="532"/>
    <x v="139"/>
    <x v="0"/>
    <x v="18"/>
    <x v="4"/>
    <x v="1"/>
  </r>
  <r>
    <x v="533"/>
    <x v="533"/>
    <x v="184"/>
    <x v="1"/>
    <x v="110"/>
    <x v="4"/>
    <x v="1"/>
  </r>
  <r>
    <x v="534"/>
    <x v="534"/>
    <x v="261"/>
    <x v="3"/>
    <x v="46"/>
    <x v="4"/>
    <x v="1"/>
  </r>
  <r>
    <x v="535"/>
    <x v="535"/>
    <x v="31"/>
    <x v="3"/>
    <x v="81"/>
    <x v="4"/>
    <x v="1"/>
  </r>
  <r>
    <x v="536"/>
    <x v="536"/>
    <x v="108"/>
    <x v="3"/>
    <x v="13"/>
    <x v="4"/>
    <x v="1"/>
  </r>
  <r>
    <x v="537"/>
    <x v="537"/>
    <x v="262"/>
    <x v="1"/>
    <x v="13"/>
    <x v="4"/>
    <x v="1"/>
  </r>
  <r>
    <x v="538"/>
    <x v="538"/>
    <x v="113"/>
    <x v="1"/>
    <x v="161"/>
    <x v="4"/>
    <x v="3"/>
  </r>
  <r>
    <x v="539"/>
    <x v="539"/>
    <x v="4"/>
    <x v="3"/>
    <x v="84"/>
    <x v="4"/>
    <x v="3"/>
  </r>
  <r>
    <x v="540"/>
    <x v="540"/>
    <x v="263"/>
    <x v="1"/>
    <x v="197"/>
    <x v="4"/>
    <x v="3"/>
  </r>
  <r>
    <x v="541"/>
    <x v="541"/>
    <x v="199"/>
    <x v="3"/>
    <x v="24"/>
    <x v="4"/>
    <x v="3"/>
  </r>
  <r>
    <x v="542"/>
    <x v="542"/>
    <x v="264"/>
    <x v="1"/>
    <x v="4"/>
    <x v="4"/>
    <x v="3"/>
  </r>
  <r>
    <x v="543"/>
    <x v="543"/>
    <x v="265"/>
    <x v="0"/>
    <x v="237"/>
    <x v="4"/>
    <x v="3"/>
  </r>
  <r>
    <x v="544"/>
    <x v="544"/>
    <x v="205"/>
    <x v="1"/>
    <x v="238"/>
    <x v="4"/>
    <x v="3"/>
  </r>
  <r>
    <x v="545"/>
    <x v="545"/>
    <x v="266"/>
    <x v="1"/>
    <x v="1"/>
    <x v="5"/>
    <x v="0"/>
  </r>
  <r>
    <x v="546"/>
    <x v="546"/>
    <x v="44"/>
    <x v="4"/>
    <x v="84"/>
    <x v="5"/>
    <x v="0"/>
  </r>
  <r>
    <x v="547"/>
    <x v="547"/>
    <x v="232"/>
    <x v="0"/>
    <x v="43"/>
    <x v="5"/>
    <x v="0"/>
  </r>
  <r>
    <x v="548"/>
    <x v="548"/>
    <x v="267"/>
    <x v="6"/>
    <x v="84"/>
    <x v="5"/>
    <x v="0"/>
  </r>
  <r>
    <x v="549"/>
    <x v="549"/>
    <x v="116"/>
    <x v="2"/>
    <x v="84"/>
    <x v="5"/>
    <x v="0"/>
  </r>
  <r>
    <x v="550"/>
    <x v="550"/>
    <x v="268"/>
    <x v="3"/>
    <x v="81"/>
    <x v="5"/>
    <x v="0"/>
  </r>
  <r>
    <x v="551"/>
    <x v="551"/>
    <x v="268"/>
    <x v="17"/>
    <x v="161"/>
    <x v="5"/>
    <x v="0"/>
  </r>
  <r>
    <x v="552"/>
    <x v="552"/>
    <x v="8"/>
    <x v="1"/>
    <x v="92"/>
    <x v="5"/>
    <x v="0"/>
  </r>
  <r>
    <x v="553"/>
    <x v="553"/>
    <x v="76"/>
    <x v="2"/>
    <x v="13"/>
    <x v="5"/>
    <x v="0"/>
  </r>
  <r>
    <x v="554"/>
    <x v="554"/>
    <x v="16"/>
    <x v="1"/>
    <x v="8"/>
    <x v="5"/>
    <x v="0"/>
  </r>
  <r>
    <x v="555"/>
    <x v="555"/>
    <x v="19"/>
    <x v="2"/>
    <x v="19"/>
    <x v="5"/>
    <x v="0"/>
  </r>
  <r>
    <x v="556"/>
    <x v="556"/>
    <x v="34"/>
    <x v="1"/>
    <x v="23"/>
    <x v="5"/>
    <x v="0"/>
  </r>
  <r>
    <x v="557"/>
    <x v="557"/>
    <x v="25"/>
    <x v="1"/>
    <x v="153"/>
    <x v="5"/>
    <x v="0"/>
  </r>
  <r>
    <x v="558"/>
    <x v="558"/>
    <x v="72"/>
    <x v="0"/>
    <x v="46"/>
    <x v="5"/>
    <x v="0"/>
  </r>
  <r>
    <x v="559"/>
    <x v="559"/>
    <x v="10"/>
    <x v="3"/>
    <x v="4"/>
    <x v="5"/>
    <x v="0"/>
  </r>
  <r>
    <x v="560"/>
    <x v="560"/>
    <x v="57"/>
    <x v="9"/>
    <x v="239"/>
    <x v="5"/>
    <x v="0"/>
  </r>
  <r>
    <x v="561"/>
    <x v="561"/>
    <x v="264"/>
    <x v="1"/>
    <x v="1"/>
    <x v="5"/>
    <x v="0"/>
  </r>
  <r>
    <x v="562"/>
    <x v="562"/>
    <x v="213"/>
    <x v="12"/>
    <x v="160"/>
    <x v="5"/>
    <x v="0"/>
  </r>
  <r>
    <x v="563"/>
    <x v="563"/>
    <x v="226"/>
    <x v="1"/>
    <x v="192"/>
    <x v="5"/>
    <x v="0"/>
  </r>
  <r>
    <x v="564"/>
    <x v="564"/>
    <x v="97"/>
    <x v="1"/>
    <x v="60"/>
    <x v="5"/>
    <x v="0"/>
  </r>
  <r>
    <x v="565"/>
    <x v="565"/>
    <x v="269"/>
    <x v="1"/>
    <x v="240"/>
    <x v="5"/>
    <x v="0"/>
  </r>
  <r>
    <x v="566"/>
    <x v="566"/>
    <x v="129"/>
    <x v="5"/>
    <x v="237"/>
    <x v="5"/>
    <x v="0"/>
  </r>
  <r>
    <x v="567"/>
    <x v="567"/>
    <x v="270"/>
    <x v="2"/>
    <x v="241"/>
    <x v="5"/>
    <x v="0"/>
  </r>
  <r>
    <x v="568"/>
    <x v="568"/>
    <x v="271"/>
    <x v="3"/>
    <x v="242"/>
    <x v="5"/>
    <x v="0"/>
  </r>
  <r>
    <x v="569"/>
    <x v="569"/>
    <x v="23"/>
    <x v="20"/>
    <x v="243"/>
    <x v="5"/>
    <x v="0"/>
  </r>
  <r>
    <x v="570"/>
    <x v="570"/>
    <x v="110"/>
    <x v="9"/>
    <x v="235"/>
    <x v="5"/>
    <x v="0"/>
  </r>
  <r>
    <x v="571"/>
    <x v="571"/>
    <x v="40"/>
    <x v="21"/>
    <x v="2"/>
    <x v="5"/>
    <x v="0"/>
  </r>
  <r>
    <x v="572"/>
    <x v="572"/>
    <x v="272"/>
    <x v="1"/>
    <x v="240"/>
    <x v="5"/>
    <x v="0"/>
  </r>
  <r>
    <x v="573"/>
    <x v="573"/>
    <x v="60"/>
    <x v="1"/>
    <x v="76"/>
    <x v="5"/>
    <x v="2"/>
  </r>
  <r>
    <x v="574"/>
    <x v="574"/>
    <x v="181"/>
    <x v="9"/>
    <x v="244"/>
    <x v="5"/>
    <x v="2"/>
  </r>
  <r>
    <x v="575"/>
    <x v="575"/>
    <x v="136"/>
    <x v="1"/>
    <x v="43"/>
    <x v="5"/>
    <x v="2"/>
  </r>
  <r>
    <x v="576"/>
    <x v="576"/>
    <x v="192"/>
    <x v="3"/>
    <x v="214"/>
    <x v="5"/>
    <x v="2"/>
  </r>
  <r>
    <x v="577"/>
    <x v="577"/>
    <x v="85"/>
    <x v="3"/>
    <x v="24"/>
    <x v="5"/>
    <x v="2"/>
  </r>
  <r>
    <x v="578"/>
    <x v="578"/>
    <x v="10"/>
    <x v="2"/>
    <x v="45"/>
    <x v="5"/>
    <x v="2"/>
  </r>
  <r>
    <x v="579"/>
    <x v="579"/>
    <x v="273"/>
    <x v="3"/>
    <x v="86"/>
    <x v="5"/>
    <x v="2"/>
  </r>
  <r>
    <x v="580"/>
    <x v="580"/>
    <x v="213"/>
    <x v="3"/>
    <x v="31"/>
    <x v="5"/>
    <x v="2"/>
  </r>
  <r>
    <x v="581"/>
    <x v="581"/>
    <x v="163"/>
    <x v="1"/>
    <x v="1"/>
    <x v="5"/>
    <x v="2"/>
  </r>
  <r>
    <x v="582"/>
    <x v="582"/>
    <x v="175"/>
    <x v="1"/>
    <x v="89"/>
    <x v="5"/>
    <x v="2"/>
  </r>
  <r>
    <x v="583"/>
    <x v="583"/>
    <x v="152"/>
    <x v="0"/>
    <x v="17"/>
    <x v="5"/>
    <x v="2"/>
  </r>
  <r>
    <x v="584"/>
    <x v="584"/>
    <x v="132"/>
    <x v="3"/>
    <x v="77"/>
    <x v="5"/>
    <x v="2"/>
  </r>
  <r>
    <x v="585"/>
    <x v="585"/>
    <x v="85"/>
    <x v="1"/>
    <x v="106"/>
    <x v="5"/>
    <x v="2"/>
  </r>
  <r>
    <x v="586"/>
    <x v="586"/>
    <x v="147"/>
    <x v="5"/>
    <x v="245"/>
    <x v="5"/>
    <x v="2"/>
  </r>
  <r>
    <x v="587"/>
    <x v="587"/>
    <x v="9"/>
    <x v="3"/>
    <x v="246"/>
    <x v="5"/>
    <x v="2"/>
  </r>
  <r>
    <x v="588"/>
    <x v="588"/>
    <x v="228"/>
    <x v="0"/>
    <x v="247"/>
    <x v="5"/>
    <x v="2"/>
  </r>
  <r>
    <x v="589"/>
    <x v="589"/>
    <x v="126"/>
    <x v="1"/>
    <x v="248"/>
    <x v="5"/>
    <x v="2"/>
  </r>
  <r>
    <x v="590"/>
    <x v="590"/>
    <x v="272"/>
    <x v="3"/>
    <x v="249"/>
    <x v="5"/>
    <x v="2"/>
  </r>
  <r>
    <x v="591"/>
    <x v="591"/>
    <x v="260"/>
    <x v="1"/>
    <x v="250"/>
    <x v="5"/>
    <x v="2"/>
  </r>
  <r>
    <x v="592"/>
    <x v="592"/>
    <x v="274"/>
    <x v="3"/>
    <x v="251"/>
    <x v="5"/>
    <x v="2"/>
  </r>
  <r>
    <x v="593"/>
    <x v="593"/>
    <x v="275"/>
    <x v="3"/>
    <x v="212"/>
    <x v="5"/>
    <x v="2"/>
  </r>
  <r>
    <x v="594"/>
    <x v="594"/>
    <x v="10"/>
    <x v="4"/>
    <x v="252"/>
    <x v="5"/>
    <x v="2"/>
  </r>
  <r>
    <x v="595"/>
    <x v="595"/>
    <x v="152"/>
    <x v="2"/>
    <x v="5"/>
    <x v="5"/>
    <x v="1"/>
  </r>
  <r>
    <x v="596"/>
    <x v="596"/>
    <x v="21"/>
    <x v="3"/>
    <x v="97"/>
    <x v="5"/>
    <x v="1"/>
  </r>
  <r>
    <x v="597"/>
    <x v="597"/>
    <x v="255"/>
    <x v="2"/>
    <x v="19"/>
    <x v="5"/>
    <x v="1"/>
  </r>
  <r>
    <x v="598"/>
    <x v="598"/>
    <x v="104"/>
    <x v="1"/>
    <x v="54"/>
    <x v="5"/>
    <x v="1"/>
  </r>
  <r>
    <x v="599"/>
    <x v="599"/>
    <x v="276"/>
    <x v="2"/>
    <x v="43"/>
    <x v="5"/>
    <x v="1"/>
  </r>
  <r>
    <x v="600"/>
    <x v="600"/>
    <x v="277"/>
    <x v="18"/>
    <x v="253"/>
    <x v="5"/>
    <x v="1"/>
  </r>
  <r>
    <x v="601"/>
    <x v="601"/>
    <x v="226"/>
    <x v="1"/>
    <x v="254"/>
    <x v="5"/>
    <x v="1"/>
  </r>
  <r>
    <x v="602"/>
    <x v="602"/>
    <x v="278"/>
    <x v="3"/>
    <x v="229"/>
    <x v="5"/>
    <x v="1"/>
  </r>
  <r>
    <x v="603"/>
    <x v="603"/>
    <x v="161"/>
    <x v="17"/>
    <x v="189"/>
    <x v="5"/>
    <x v="1"/>
  </r>
  <r>
    <x v="604"/>
    <x v="604"/>
    <x v="279"/>
    <x v="3"/>
    <x v="255"/>
    <x v="5"/>
    <x v="1"/>
  </r>
  <r>
    <x v="605"/>
    <x v="605"/>
    <x v="255"/>
    <x v="3"/>
    <x v="86"/>
    <x v="5"/>
    <x v="1"/>
  </r>
  <r>
    <x v="606"/>
    <x v="606"/>
    <x v="280"/>
    <x v="3"/>
    <x v="29"/>
    <x v="5"/>
    <x v="1"/>
  </r>
  <r>
    <x v="607"/>
    <x v="607"/>
    <x v="148"/>
    <x v="1"/>
    <x v="199"/>
    <x v="5"/>
    <x v="1"/>
  </r>
  <r>
    <x v="608"/>
    <x v="608"/>
    <x v="94"/>
    <x v="1"/>
    <x v="141"/>
    <x v="5"/>
    <x v="1"/>
  </r>
  <r>
    <x v="609"/>
    <x v="609"/>
    <x v="281"/>
    <x v="1"/>
    <x v="199"/>
    <x v="5"/>
    <x v="1"/>
  </r>
  <r>
    <x v="610"/>
    <x v="610"/>
    <x v="108"/>
    <x v="9"/>
    <x v="256"/>
    <x v="5"/>
    <x v="1"/>
  </r>
  <r>
    <x v="611"/>
    <x v="611"/>
    <x v="282"/>
    <x v="2"/>
    <x v="84"/>
    <x v="5"/>
    <x v="1"/>
  </r>
  <r>
    <x v="612"/>
    <x v="612"/>
    <x v="87"/>
    <x v="1"/>
    <x v="132"/>
    <x v="5"/>
    <x v="3"/>
  </r>
  <r>
    <x v="613"/>
    <x v="613"/>
    <x v="54"/>
    <x v="1"/>
    <x v="99"/>
    <x v="5"/>
    <x v="3"/>
  </r>
  <r>
    <x v="614"/>
    <x v="614"/>
    <x v="107"/>
    <x v="1"/>
    <x v="257"/>
    <x v="5"/>
    <x v="3"/>
  </r>
  <r>
    <x v="615"/>
    <x v="615"/>
    <x v="131"/>
    <x v="2"/>
    <x v="155"/>
    <x v="5"/>
    <x v="3"/>
  </r>
  <r>
    <x v="616"/>
    <x v="616"/>
    <x v="67"/>
    <x v="5"/>
    <x v="258"/>
    <x v="5"/>
    <x v="3"/>
  </r>
  <r>
    <x v="617"/>
    <x v="617"/>
    <x v="50"/>
    <x v="0"/>
    <x v="259"/>
    <x v="5"/>
    <x v="3"/>
  </r>
  <r>
    <x v="618"/>
    <x v="618"/>
    <x v="63"/>
    <x v="1"/>
    <x v="4"/>
    <x v="5"/>
    <x v="3"/>
  </r>
  <r>
    <x v="619"/>
    <x v="619"/>
    <x v="125"/>
    <x v="1"/>
    <x v="260"/>
    <x v="5"/>
    <x v="3"/>
  </r>
  <r>
    <x v="620"/>
    <x v="620"/>
    <x v="175"/>
    <x v="2"/>
    <x v="261"/>
    <x v="5"/>
    <x v="3"/>
  </r>
  <r>
    <x v="621"/>
    <x v="621"/>
    <x v="257"/>
    <x v="6"/>
    <x v="262"/>
    <x v="5"/>
    <x v="3"/>
  </r>
  <r>
    <x v="622"/>
    <x v="622"/>
    <x v="150"/>
    <x v="18"/>
    <x v="263"/>
    <x v="5"/>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1">
  <r>
    <x v="0"/>
    <x v="0"/>
    <x v="0"/>
    <x v="0"/>
    <n v="9.5"/>
    <n v="22.3"/>
    <x v="0"/>
    <n v="1"/>
  </r>
  <r>
    <x v="1"/>
    <x v="1"/>
    <x v="0"/>
    <x v="0"/>
    <n v="9.5"/>
    <n v="26.4"/>
    <x v="0"/>
    <n v="2"/>
  </r>
  <r>
    <x v="1"/>
    <x v="1"/>
    <x v="0"/>
    <x v="0"/>
    <n v="9.5"/>
    <n v="16.100000000000001"/>
    <x v="1"/>
    <n v="3"/>
  </r>
  <r>
    <x v="2"/>
    <x v="1"/>
    <x v="0"/>
    <x v="1"/>
    <n v="9.5"/>
    <n v="21.4"/>
    <x v="1"/>
    <n v="4"/>
  </r>
  <r>
    <x v="2"/>
    <x v="1"/>
    <x v="0"/>
    <x v="1"/>
    <n v="9.4"/>
    <n v="35.700000000000003"/>
    <x v="0"/>
    <n v="5"/>
  </r>
  <r>
    <x v="2"/>
    <x v="1"/>
    <x v="0"/>
    <x v="1"/>
    <n v="9.4"/>
    <n v="27.2"/>
    <x v="2"/>
    <n v="6"/>
  </r>
  <r>
    <x v="3"/>
    <x v="2"/>
    <x v="1"/>
    <x v="1"/>
    <n v="9.4"/>
    <n v="15.9"/>
    <x v="0"/>
    <n v="7"/>
  </r>
  <r>
    <x v="0"/>
    <x v="0"/>
    <x v="0"/>
    <x v="0"/>
    <n v="9.3000000000000007"/>
    <n v="13.8"/>
    <x v="1"/>
    <n v="8"/>
  </r>
  <r>
    <x v="1"/>
    <x v="1"/>
    <x v="0"/>
    <x v="0"/>
    <n v="9.3000000000000007"/>
    <n v="20.5"/>
    <x v="2"/>
    <n v="9"/>
  </r>
  <r>
    <x v="4"/>
    <x v="1"/>
    <x v="0"/>
    <x v="2"/>
    <n v="9.3000000000000007"/>
    <n v="30.4"/>
    <x v="0"/>
    <n v="10"/>
  </r>
  <r>
    <x v="3"/>
    <x v="2"/>
    <x v="1"/>
    <x v="1"/>
    <n v="9.3000000000000007"/>
    <n v="10"/>
    <x v="1"/>
    <n v="11"/>
  </r>
  <r>
    <x v="5"/>
    <x v="1"/>
    <x v="2"/>
    <x v="1"/>
    <n v="9.3000000000000007"/>
    <n v="25.1"/>
    <x v="0"/>
    <n v="12"/>
  </r>
  <r>
    <x v="6"/>
    <x v="0"/>
    <x v="3"/>
    <x v="1"/>
    <n v="9.1999999999999993"/>
    <n v="24.1"/>
    <x v="0"/>
    <n v="13"/>
  </r>
  <r>
    <x v="0"/>
    <x v="0"/>
    <x v="0"/>
    <x v="0"/>
    <n v="9.1999999999999993"/>
    <n v="17.899999999999999"/>
    <x v="2"/>
    <n v="14"/>
  </r>
  <r>
    <x v="7"/>
    <x v="3"/>
    <x v="0"/>
    <x v="2"/>
    <n v="9.1999999999999993"/>
    <n v="17.399999999999999"/>
    <x v="0"/>
    <n v="15"/>
  </r>
  <r>
    <x v="8"/>
    <x v="4"/>
    <x v="2"/>
    <x v="3"/>
    <n v="9.1999999999999993"/>
    <n v="11.6"/>
    <x v="1"/>
    <n v="16"/>
  </r>
  <r>
    <x v="9"/>
    <x v="1"/>
    <x v="2"/>
    <x v="2"/>
    <n v="9.1999999999999993"/>
    <n v="23.6"/>
    <x v="0"/>
    <n v="17"/>
  </r>
  <r>
    <x v="0"/>
    <x v="0"/>
    <x v="0"/>
    <x v="0"/>
    <n v="9.1"/>
    <n v="12.3"/>
    <x v="3"/>
    <n v="18"/>
  </r>
  <r>
    <x v="1"/>
    <x v="1"/>
    <x v="0"/>
    <x v="0"/>
    <n v="9.1"/>
    <n v="13.3"/>
    <x v="3"/>
    <n v="19"/>
  </r>
  <r>
    <x v="10"/>
    <x v="3"/>
    <x v="0"/>
    <x v="3"/>
    <n v="9.1"/>
    <n v="15.1"/>
    <x v="0"/>
    <n v="20"/>
  </r>
  <r>
    <x v="11"/>
    <x v="1"/>
    <x v="0"/>
    <x v="2"/>
    <n v="9.1"/>
    <n v="28.3"/>
    <x v="0"/>
    <n v="21"/>
  </r>
  <r>
    <x v="11"/>
    <x v="1"/>
    <x v="0"/>
    <x v="2"/>
    <n v="9.1"/>
    <n v="18.2"/>
    <x v="1"/>
    <n v="22"/>
  </r>
  <r>
    <x v="12"/>
    <x v="2"/>
    <x v="0"/>
    <x v="2"/>
    <n v="9.1"/>
    <n v="14.7"/>
    <x v="0"/>
    <n v="23"/>
  </r>
  <r>
    <x v="12"/>
    <x v="2"/>
    <x v="0"/>
    <x v="2"/>
    <n v="9.1"/>
    <n v="11.6"/>
    <x v="2"/>
    <n v="24"/>
  </r>
  <r>
    <x v="12"/>
    <x v="2"/>
    <x v="0"/>
    <x v="2"/>
    <n v="9.1"/>
    <n v="9.5"/>
    <x v="1"/>
    <n v="25"/>
  </r>
  <r>
    <x v="2"/>
    <x v="1"/>
    <x v="0"/>
    <x v="1"/>
    <n v="9.1"/>
    <n v="18.7"/>
    <x v="3"/>
    <n v="26"/>
  </r>
  <r>
    <x v="13"/>
    <x v="1"/>
    <x v="0"/>
    <x v="1"/>
    <n v="9.1"/>
    <n v="30.4"/>
    <x v="0"/>
    <n v="27"/>
  </r>
  <r>
    <x v="13"/>
    <x v="1"/>
    <x v="0"/>
    <x v="1"/>
    <n v="9.1"/>
    <n v="18.899999999999999"/>
    <x v="1"/>
    <n v="28"/>
  </r>
  <r>
    <x v="14"/>
    <x v="2"/>
    <x v="1"/>
    <x v="2"/>
    <n v="9.1"/>
    <n v="14"/>
    <x v="0"/>
    <n v="29"/>
  </r>
  <r>
    <x v="14"/>
    <x v="2"/>
    <x v="1"/>
    <x v="2"/>
    <n v="9.1"/>
    <n v="9.5"/>
    <x v="1"/>
    <n v="30"/>
  </r>
  <r>
    <x v="15"/>
    <x v="4"/>
    <x v="2"/>
    <x v="4"/>
    <n v="9.1"/>
    <n v="17.3"/>
    <x v="0"/>
    <n v="31"/>
  </r>
  <r>
    <x v="8"/>
    <x v="4"/>
    <x v="2"/>
    <x v="3"/>
    <n v="9.1"/>
    <n v="18.5"/>
    <x v="0"/>
    <n v="32"/>
  </r>
  <r>
    <x v="16"/>
    <x v="5"/>
    <x v="2"/>
    <x v="2"/>
    <n v="9.1"/>
    <n v="22.2"/>
    <x v="0"/>
    <n v="33"/>
  </r>
  <r>
    <x v="9"/>
    <x v="1"/>
    <x v="2"/>
    <x v="2"/>
    <n v="9.1"/>
    <n v="14.8"/>
    <x v="1"/>
    <n v="34"/>
  </r>
  <r>
    <x v="5"/>
    <x v="1"/>
    <x v="2"/>
    <x v="1"/>
    <n v="9.1"/>
    <n v="15.6"/>
    <x v="1"/>
    <n v="35"/>
  </r>
  <r>
    <x v="17"/>
    <x v="0"/>
    <x v="3"/>
    <x v="2"/>
    <n v="9"/>
    <n v="22.8"/>
    <x v="0"/>
    <n v="36"/>
  </r>
  <r>
    <x v="18"/>
    <x v="1"/>
    <x v="0"/>
    <x v="5"/>
    <n v="9"/>
    <n v="12.9"/>
    <x v="1"/>
    <n v="37"/>
  </r>
  <r>
    <x v="4"/>
    <x v="1"/>
    <x v="0"/>
    <x v="2"/>
    <n v="9"/>
    <n v="15.6"/>
    <x v="3"/>
    <n v="38"/>
  </r>
  <r>
    <x v="4"/>
    <x v="1"/>
    <x v="0"/>
    <x v="2"/>
    <n v="9"/>
    <n v="18.399999999999999"/>
    <x v="1"/>
    <n v="39"/>
  </r>
  <r>
    <x v="11"/>
    <x v="1"/>
    <x v="0"/>
    <x v="2"/>
    <n v="9"/>
    <n v="21.9"/>
    <x v="2"/>
    <n v="40"/>
  </r>
  <r>
    <x v="7"/>
    <x v="3"/>
    <x v="0"/>
    <x v="2"/>
    <n v="9"/>
    <n v="11"/>
    <x v="1"/>
    <n v="41"/>
  </r>
  <r>
    <x v="19"/>
    <x v="1"/>
    <x v="0"/>
    <x v="1"/>
    <n v="9"/>
    <n v="26.8"/>
    <x v="0"/>
    <n v="42"/>
  </r>
  <r>
    <x v="20"/>
    <x v="2"/>
    <x v="1"/>
    <x v="0"/>
    <n v="9"/>
    <n v="8.1"/>
    <x v="1"/>
    <n v="43"/>
  </r>
  <r>
    <x v="3"/>
    <x v="2"/>
    <x v="1"/>
    <x v="1"/>
    <n v="9"/>
    <n v="12.8"/>
    <x v="2"/>
    <n v="44"/>
  </r>
  <r>
    <x v="21"/>
    <x v="1"/>
    <x v="2"/>
    <x v="5"/>
    <n v="9"/>
    <n v="21.7"/>
    <x v="0"/>
    <n v="45"/>
  </r>
  <r>
    <x v="8"/>
    <x v="4"/>
    <x v="2"/>
    <x v="3"/>
    <n v="9"/>
    <n v="14.5"/>
    <x v="2"/>
    <n v="46"/>
  </r>
  <r>
    <x v="8"/>
    <x v="4"/>
    <x v="2"/>
    <x v="3"/>
    <n v="9"/>
    <n v="10.4"/>
    <x v="3"/>
    <n v="47"/>
  </r>
  <r>
    <x v="9"/>
    <x v="1"/>
    <x v="2"/>
    <x v="2"/>
    <n v="9"/>
    <n v="19.2"/>
    <x v="2"/>
    <n v="48"/>
  </r>
  <r>
    <x v="9"/>
    <x v="1"/>
    <x v="2"/>
    <x v="2"/>
    <n v="9"/>
    <n v="12.1"/>
    <x v="3"/>
    <n v="49"/>
  </r>
  <r>
    <x v="22"/>
    <x v="5"/>
    <x v="2"/>
    <x v="1"/>
    <n v="9"/>
    <n v="23.1"/>
    <x v="0"/>
    <n v="50"/>
  </r>
  <r>
    <x v="5"/>
    <x v="1"/>
    <x v="2"/>
    <x v="1"/>
    <n v="9"/>
    <n v="19.899999999999999"/>
    <x v="2"/>
    <n v="51"/>
  </r>
  <r>
    <x v="6"/>
    <x v="0"/>
    <x v="3"/>
    <x v="1"/>
    <n v="8.9"/>
    <n v="14.8"/>
    <x v="1"/>
    <n v="52"/>
  </r>
  <r>
    <x v="18"/>
    <x v="1"/>
    <x v="0"/>
    <x v="5"/>
    <n v="8.9"/>
    <n v="21.5"/>
    <x v="0"/>
    <n v="53"/>
  </r>
  <r>
    <x v="23"/>
    <x v="1"/>
    <x v="0"/>
    <x v="0"/>
    <n v="8.9"/>
    <n v="16.899999999999999"/>
    <x v="1"/>
    <n v="54"/>
  </r>
  <r>
    <x v="24"/>
    <x v="2"/>
    <x v="0"/>
    <x v="0"/>
    <n v="8.9"/>
    <n v="13"/>
    <x v="0"/>
    <n v="55"/>
  </r>
  <r>
    <x v="4"/>
    <x v="1"/>
    <x v="0"/>
    <x v="2"/>
    <n v="8.9"/>
    <n v="24"/>
    <x v="2"/>
    <n v="56"/>
  </r>
  <r>
    <x v="7"/>
    <x v="3"/>
    <x v="0"/>
    <x v="2"/>
    <n v="8.9"/>
    <n v="13.7"/>
    <x v="2"/>
    <n v="57"/>
  </r>
  <r>
    <x v="13"/>
    <x v="1"/>
    <x v="0"/>
    <x v="1"/>
    <n v="8.9"/>
    <n v="24.1"/>
    <x v="2"/>
    <n v="58"/>
  </r>
  <r>
    <x v="20"/>
    <x v="2"/>
    <x v="1"/>
    <x v="0"/>
    <n v="8.9"/>
    <n v="12.9"/>
    <x v="0"/>
    <n v="59"/>
  </r>
  <r>
    <x v="20"/>
    <x v="2"/>
    <x v="1"/>
    <x v="0"/>
    <n v="8.9"/>
    <n v="9.4"/>
    <x v="2"/>
    <n v="60"/>
  </r>
  <r>
    <x v="25"/>
    <x v="6"/>
    <x v="1"/>
    <x v="0"/>
    <n v="8.9"/>
    <n v="14.7"/>
    <x v="0"/>
    <n v="61"/>
  </r>
  <r>
    <x v="14"/>
    <x v="2"/>
    <x v="1"/>
    <x v="2"/>
    <n v="8.9"/>
    <n v="11.3"/>
    <x v="2"/>
    <n v="62"/>
  </r>
  <r>
    <x v="15"/>
    <x v="4"/>
    <x v="2"/>
    <x v="4"/>
    <n v="8.9"/>
    <n v="10.8"/>
    <x v="1"/>
    <n v="63"/>
  </r>
  <r>
    <x v="21"/>
    <x v="1"/>
    <x v="2"/>
    <x v="5"/>
    <n v="8.9"/>
    <n v="12.9"/>
    <x v="1"/>
    <n v="64"/>
  </r>
  <r>
    <x v="26"/>
    <x v="5"/>
    <x v="2"/>
    <x v="3"/>
    <n v="8.9"/>
    <n v="20.2"/>
    <x v="0"/>
    <n v="65"/>
  </r>
  <r>
    <x v="16"/>
    <x v="5"/>
    <x v="2"/>
    <x v="2"/>
    <n v="8.9"/>
    <n v="16.8"/>
    <x v="2"/>
    <n v="66"/>
  </r>
  <r>
    <x v="22"/>
    <x v="5"/>
    <x v="2"/>
    <x v="1"/>
    <n v="8.9"/>
    <n v="18.2"/>
    <x v="2"/>
    <n v="67"/>
  </r>
  <r>
    <x v="22"/>
    <x v="5"/>
    <x v="2"/>
    <x v="1"/>
    <n v="8.9"/>
    <n v="14.7"/>
    <x v="1"/>
    <n v="68"/>
  </r>
  <r>
    <x v="5"/>
    <x v="1"/>
    <x v="2"/>
    <x v="1"/>
    <n v="8.9"/>
    <n v="13.2"/>
    <x v="3"/>
    <n v="69"/>
  </r>
  <r>
    <x v="27"/>
    <x v="1"/>
    <x v="3"/>
    <x v="0"/>
    <n v="8.8000000000000007"/>
    <n v="15.3"/>
    <x v="0"/>
    <n v="70"/>
  </r>
  <r>
    <x v="17"/>
    <x v="0"/>
    <x v="3"/>
    <x v="2"/>
    <n v="8.8000000000000007"/>
    <n v="18"/>
    <x v="2"/>
    <n v="71"/>
  </r>
  <r>
    <x v="17"/>
    <x v="0"/>
    <x v="3"/>
    <x v="2"/>
    <n v="8.8000000000000007"/>
    <n v="11.5"/>
    <x v="3"/>
    <n v="72"/>
  </r>
  <r>
    <x v="17"/>
    <x v="0"/>
    <x v="3"/>
    <x v="2"/>
    <n v="8.8000000000000007"/>
    <n v="13.6"/>
    <x v="1"/>
    <n v="73"/>
  </r>
  <r>
    <x v="28"/>
    <x v="7"/>
    <x v="3"/>
    <x v="2"/>
    <n v="8.8000000000000007"/>
    <n v="17.5"/>
    <x v="0"/>
    <n v="74"/>
  </r>
  <r>
    <x v="6"/>
    <x v="0"/>
    <x v="3"/>
    <x v="1"/>
    <n v="8.8000000000000007"/>
    <n v="18.3"/>
    <x v="2"/>
    <n v="75"/>
  </r>
  <r>
    <x v="29"/>
    <x v="6"/>
    <x v="3"/>
    <x v="1"/>
    <n v="8.8000000000000007"/>
    <n v="15.4"/>
    <x v="0"/>
    <n v="76"/>
  </r>
  <r>
    <x v="18"/>
    <x v="1"/>
    <x v="0"/>
    <x v="5"/>
    <n v="8.8000000000000007"/>
    <n v="16.7"/>
    <x v="2"/>
    <n v="77"/>
  </r>
  <r>
    <x v="30"/>
    <x v="8"/>
    <x v="0"/>
    <x v="5"/>
    <n v="8.8000000000000007"/>
    <n v="13.8"/>
    <x v="0"/>
    <n v="78"/>
  </r>
  <r>
    <x v="31"/>
    <x v="9"/>
    <x v="0"/>
    <x v="5"/>
    <n v="8.8000000000000007"/>
    <n v="12.7"/>
    <x v="0"/>
    <n v="79"/>
  </r>
  <r>
    <x v="23"/>
    <x v="1"/>
    <x v="0"/>
    <x v="0"/>
    <n v="8.8000000000000007"/>
    <n v="28.1"/>
    <x v="0"/>
    <n v="80"/>
  </r>
  <r>
    <x v="24"/>
    <x v="2"/>
    <x v="0"/>
    <x v="0"/>
    <n v="8.8000000000000007"/>
    <n v="7.5"/>
    <x v="1"/>
    <n v="81"/>
  </r>
  <r>
    <x v="32"/>
    <x v="3"/>
    <x v="0"/>
    <x v="0"/>
    <n v="8.8000000000000007"/>
    <n v="13.9"/>
    <x v="0"/>
    <n v="82"/>
  </r>
  <r>
    <x v="33"/>
    <x v="6"/>
    <x v="0"/>
    <x v="0"/>
    <n v="8.8000000000000007"/>
    <n v="17"/>
    <x v="0"/>
    <n v="83"/>
  </r>
  <r>
    <x v="33"/>
    <x v="6"/>
    <x v="0"/>
    <x v="0"/>
    <n v="8.8000000000000007"/>
    <n v="11"/>
    <x v="1"/>
    <n v="84"/>
  </r>
  <r>
    <x v="34"/>
    <x v="1"/>
    <x v="0"/>
    <x v="3"/>
    <n v="8.8000000000000007"/>
    <n v="25.6"/>
    <x v="0"/>
    <n v="85"/>
  </r>
  <r>
    <x v="34"/>
    <x v="1"/>
    <x v="0"/>
    <x v="3"/>
    <n v="8.8000000000000007"/>
    <n v="16.3"/>
    <x v="1"/>
    <n v="86"/>
  </r>
  <r>
    <x v="35"/>
    <x v="5"/>
    <x v="0"/>
    <x v="3"/>
    <n v="8.8000000000000007"/>
    <n v="17"/>
    <x v="0"/>
    <n v="87"/>
  </r>
  <r>
    <x v="35"/>
    <x v="5"/>
    <x v="0"/>
    <x v="3"/>
    <n v="8.8000000000000007"/>
    <n v="10.4"/>
    <x v="1"/>
    <n v="88"/>
  </r>
  <r>
    <x v="10"/>
    <x v="3"/>
    <x v="0"/>
    <x v="3"/>
    <n v="8.8000000000000007"/>
    <n v="9.8000000000000007"/>
    <x v="1"/>
    <n v="89"/>
  </r>
  <r>
    <x v="10"/>
    <x v="3"/>
    <x v="0"/>
    <x v="3"/>
    <n v="8.8000000000000007"/>
    <n v="12.7"/>
    <x v="2"/>
    <n v="90"/>
  </r>
  <r>
    <x v="13"/>
    <x v="1"/>
    <x v="0"/>
    <x v="1"/>
    <n v="8.8000000000000007"/>
    <n v="16.100000000000001"/>
    <x v="3"/>
    <n v="91"/>
  </r>
  <r>
    <x v="36"/>
    <x v="2"/>
    <x v="1"/>
    <x v="4"/>
    <n v="8.8000000000000007"/>
    <n v="7.4"/>
    <x v="1"/>
    <n v="92"/>
  </r>
  <r>
    <x v="15"/>
    <x v="4"/>
    <x v="2"/>
    <x v="4"/>
    <n v="8.8000000000000007"/>
    <n v="9.6"/>
    <x v="3"/>
    <n v="93"/>
  </r>
  <r>
    <x v="21"/>
    <x v="1"/>
    <x v="2"/>
    <x v="5"/>
    <n v="8.8000000000000007"/>
    <n v="17.2"/>
    <x v="2"/>
    <n v="94"/>
  </r>
  <r>
    <x v="16"/>
    <x v="5"/>
    <x v="2"/>
    <x v="2"/>
    <n v="8.8000000000000007"/>
    <n v="14"/>
    <x v="1"/>
    <n v="95"/>
  </r>
  <r>
    <x v="37"/>
    <x v="5"/>
    <x v="3"/>
    <x v="4"/>
    <n v="8.6999999999999993"/>
    <n v="6.5"/>
    <x v="1"/>
    <n v="96"/>
  </r>
  <r>
    <x v="38"/>
    <x v="6"/>
    <x v="3"/>
    <x v="3"/>
    <n v="8.6999999999999993"/>
    <n v="13.6"/>
    <x v="0"/>
    <n v="97"/>
  </r>
  <r>
    <x v="38"/>
    <x v="6"/>
    <x v="3"/>
    <x v="3"/>
    <n v="8.6999999999999993"/>
    <n v="8.4"/>
    <x v="1"/>
    <n v="98"/>
  </r>
  <r>
    <x v="6"/>
    <x v="0"/>
    <x v="3"/>
    <x v="1"/>
    <n v="8.6999999999999993"/>
    <n v="12.6"/>
    <x v="3"/>
    <n v="99"/>
  </r>
  <r>
    <x v="29"/>
    <x v="6"/>
    <x v="3"/>
    <x v="1"/>
    <n v="8.6999999999999993"/>
    <n v="12.3"/>
    <x v="2"/>
    <n v="100"/>
  </r>
  <r>
    <x v="39"/>
    <x v="3"/>
    <x v="0"/>
    <x v="4"/>
    <n v="8.6999999999999993"/>
    <n v="8.4"/>
    <x v="0"/>
    <n v="101"/>
  </r>
  <r>
    <x v="18"/>
    <x v="1"/>
    <x v="0"/>
    <x v="5"/>
    <n v="8.6999999999999993"/>
    <n v="11.1"/>
    <x v="3"/>
    <n v="102"/>
  </r>
  <r>
    <x v="40"/>
    <x v="5"/>
    <x v="0"/>
    <x v="5"/>
    <n v="8.6999999999999993"/>
    <n v="10.5"/>
    <x v="0"/>
    <n v="103"/>
  </r>
  <r>
    <x v="31"/>
    <x v="9"/>
    <x v="0"/>
    <x v="5"/>
    <n v="8.6999999999999993"/>
    <n v="7.6"/>
    <x v="1"/>
    <n v="104"/>
  </r>
  <r>
    <x v="23"/>
    <x v="1"/>
    <x v="0"/>
    <x v="0"/>
    <n v="8.6999999999999993"/>
    <n v="21.2"/>
    <x v="2"/>
    <n v="105"/>
  </r>
  <r>
    <x v="23"/>
    <x v="1"/>
    <x v="0"/>
    <x v="0"/>
    <n v="8.6999999999999993"/>
    <n v="14"/>
    <x v="3"/>
    <n v="106"/>
  </r>
  <r>
    <x v="24"/>
    <x v="2"/>
    <x v="0"/>
    <x v="0"/>
    <n v="8.6999999999999993"/>
    <n v="9.3000000000000007"/>
    <x v="2"/>
    <n v="107"/>
  </r>
  <r>
    <x v="32"/>
    <x v="3"/>
    <x v="0"/>
    <x v="0"/>
    <n v="8.6999999999999993"/>
    <n v="9.4"/>
    <x v="1"/>
    <n v="108"/>
  </r>
  <r>
    <x v="34"/>
    <x v="1"/>
    <x v="0"/>
    <x v="3"/>
    <n v="8.6999999999999993"/>
    <n v="19.399999999999999"/>
    <x v="2"/>
    <n v="109"/>
  </r>
  <r>
    <x v="34"/>
    <x v="1"/>
    <x v="0"/>
    <x v="3"/>
    <n v="8.6999999999999993"/>
    <n v="12.9"/>
    <x v="3"/>
    <n v="110"/>
  </r>
  <r>
    <x v="41"/>
    <x v="2"/>
    <x v="0"/>
    <x v="3"/>
    <n v="8.6999999999999993"/>
    <n v="6.3"/>
    <x v="1"/>
    <n v="111"/>
  </r>
  <r>
    <x v="11"/>
    <x v="1"/>
    <x v="0"/>
    <x v="2"/>
    <n v="8.6999999999999993"/>
    <n v="14.5"/>
    <x v="3"/>
    <n v="112"/>
  </r>
  <r>
    <x v="42"/>
    <x v="0"/>
    <x v="0"/>
    <x v="2"/>
    <n v="8.6999999999999993"/>
    <n v="15.9"/>
    <x v="0"/>
    <n v="113"/>
  </r>
  <r>
    <x v="42"/>
    <x v="0"/>
    <x v="0"/>
    <x v="2"/>
    <n v="8.6999999999999993"/>
    <n v="10.199999999999999"/>
    <x v="1"/>
    <n v="114"/>
  </r>
  <r>
    <x v="19"/>
    <x v="1"/>
    <x v="0"/>
    <x v="1"/>
    <n v="8.6999999999999993"/>
    <n v="20.3"/>
    <x v="2"/>
    <n v="115"/>
  </r>
  <r>
    <x v="36"/>
    <x v="2"/>
    <x v="1"/>
    <x v="4"/>
    <n v="8.6999999999999993"/>
    <n v="10.9"/>
    <x v="0"/>
    <n v="116"/>
  </r>
  <r>
    <x v="36"/>
    <x v="2"/>
    <x v="1"/>
    <x v="4"/>
    <n v="8.6999999999999993"/>
    <n v="9.3000000000000007"/>
    <x v="2"/>
    <n v="117"/>
  </r>
  <r>
    <x v="25"/>
    <x v="6"/>
    <x v="1"/>
    <x v="0"/>
    <n v="8.6999999999999993"/>
    <n v="8.5"/>
    <x v="1"/>
    <n v="118"/>
  </r>
  <r>
    <x v="15"/>
    <x v="4"/>
    <x v="2"/>
    <x v="4"/>
    <n v="8.6999999999999993"/>
    <n v="14"/>
    <x v="2"/>
    <n v="119"/>
  </r>
  <r>
    <x v="21"/>
    <x v="1"/>
    <x v="2"/>
    <x v="5"/>
    <n v="8.6999999999999993"/>
    <n v="11.6"/>
    <x v="3"/>
    <n v="120"/>
  </r>
  <r>
    <x v="16"/>
    <x v="5"/>
    <x v="2"/>
    <x v="2"/>
    <n v="8.6999999999999993"/>
    <n v="11"/>
    <x v="3"/>
    <n v="121"/>
  </r>
  <r>
    <x v="22"/>
    <x v="5"/>
    <x v="2"/>
    <x v="1"/>
    <n v="8.6999999999999993"/>
    <n v="11.3"/>
    <x v="3"/>
    <n v="122"/>
  </r>
  <r>
    <x v="37"/>
    <x v="5"/>
    <x v="3"/>
    <x v="4"/>
    <n v="8.6"/>
    <n v="10"/>
    <x v="0"/>
    <n v="123"/>
  </r>
  <r>
    <x v="43"/>
    <x v="7"/>
    <x v="3"/>
    <x v="5"/>
    <n v="8.6"/>
    <n v="16.399999999999999"/>
    <x v="0"/>
    <n v="124"/>
  </r>
  <r>
    <x v="27"/>
    <x v="1"/>
    <x v="3"/>
    <x v="0"/>
    <n v="8.6"/>
    <n v="8.1999999999999993"/>
    <x v="3"/>
    <n v="125"/>
  </r>
  <r>
    <x v="44"/>
    <x v="1"/>
    <x v="3"/>
    <x v="1"/>
    <n v="8.6"/>
    <n v="20.7"/>
    <x v="0"/>
    <n v="126"/>
  </r>
  <r>
    <x v="44"/>
    <x v="1"/>
    <x v="3"/>
    <x v="1"/>
    <n v="8.6"/>
    <n v="16"/>
    <x v="2"/>
    <n v="127"/>
  </r>
  <r>
    <x v="44"/>
    <x v="1"/>
    <x v="3"/>
    <x v="1"/>
    <n v="8.6"/>
    <n v="13.4"/>
    <x v="1"/>
    <n v="128"/>
  </r>
  <r>
    <x v="45"/>
    <x v="1"/>
    <x v="0"/>
    <x v="4"/>
    <n v="8.6"/>
    <n v="24.5"/>
    <x v="0"/>
    <n v="129"/>
  </r>
  <r>
    <x v="46"/>
    <x v="1"/>
    <x v="0"/>
    <x v="5"/>
    <n v="8.6"/>
    <n v="18.600000000000001"/>
    <x v="0"/>
    <n v="130"/>
  </r>
  <r>
    <x v="47"/>
    <x v="3"/>
    <x v="0"/>
    <x v="5"/>
    <n v="8.6"/>
    <n v="10.199999999999999"/>
    <x v="0"/>
    <n v="131"/>
  </r>
  <r>
    <x v="47"/>
    <x v="3"/>
    <x v="0"/>
    <x v="5"/>
    <n v="8.6"/>
    <n v="5.5"/>
    <x v="1"/>
    <n v="132"/>
  </r>
  <r>
    <x v="31"/>
    <x v="9"/>
    <x v="0"/>
    <x v="5"/>
    <n v="8.6"/>
    <n v="9.6"/>
    <x v="2"/>
    <n v="133"/>
  </r>
  <r>
    <x v="32"/>
    <x v="3"/>
    <x v="0"/>
    <x v="0"/>
    <n v="8.6"/>
    <n v="11.2"/>
    <x v="2"/>
    <n v="134"/>
  </r>
  <r>
    <x v="35"/>
    <x v="5"/>
    <x v="0"/>
    <x v="3"/>
    <n v="8.6"/>
    <n v="13.6"/>
    <x v="2"/>
    <n v="135"/>
  </r>
  <r>
    <x v="41"/>
    <x v="2"/>
    <x v="0"/>
    <x v="3"/>
    <n v="8.6"/>
    <n v="10.1"/>
    <x v="0"/>
    <n v="136"/>
  </r>
  <r>
    <x v="48"/>
    <x v="1"/>
    <x v="0"/>
    <x v="2"/>
    <n v="8.6"/>
    <n v="24"/>
    <x v="0"/>
    <n v="137"/>
  </r>
  <r>
    <x v="48"/>
    <x v="1"/>
    <x v="0"/>
    <x v="2"/>
    <n v="8.6"/>
    <n v="19"/>
    <x v="2"/>
    <n v="138"/>
  </r>
  <r>
    <x v="19"/>
    <x v="1"/>
    <x v="0"/>
    <x v="1"/>
    <n v="8.6"/>
    <n v="14.4"/>
    <x v="3"/>
    <n v="139"/>
  </r>
  <r>
    <x v="49"/>
    <x v="4"/>
    <x v="1"/>
    <x v="4"/>
    <n v="8.6"/>
    <n v="9.4"/>
    <x v="0"/>
    <n v="140"/>
  </r>
  <r>
    <x v="25"/>
    <x v="6"/>
    <x v="1"/>
    <x v="0"/>
    <n v="8.6"/>
    <n v="11.1"/>
    <x v="2"/>
    <n v="141"/>
  </r>
  <r>
    <x v="50"/>
    <x v="9"/>
    <x v="2"/>
    <x v="5"/>
    <n v="8.6"/>
    <n v="17.8"/>
    <x v="0"/>
    <n v="142"/>
  </r>
  <r>
    <x v="26"/>
    <x v="5"/>
    <x v="2"/>
    <x v="3"/>
    <n v="8.6"/>
    <n v="12"/>
    <x v="1"/>
    <n v="143"/>
  </r>
  <r>
    <x v="37"/>
    <x v="5"/>
    <x v="3"/>
    <x v="4"/>
    <n v="8.5"/>
    <n v="8.6"/>
    <x v="2"/>
    <n v="144"/>
  </r>
  <r>
    <x v="27"/>
    <x v="1"/>
    <x v="3"/>
    <x v="0"/>
    <n v="8.5"/>
    <n v="11.5"/>
    <x v="2"/>
    <n v="145"/>
  </r>
  <r>
    <x v="51"/>
    <x v="1"/>
    <x v="3"/>
    <x v="3"/>
    <n v="8.5"/>
    <n v="16.600000000000001"/>
    <x v="0"/>
    <n v="146"/>
  </r>
  <r>
    <x v="52"/>
    <x v="7"/>
    <x v="3"/>
    <x v="3"/>
    <n v="8.5"/>
    <n v="16.2"/>
    <x v="0"/>
    <n v="147"/>
  </r>
  <r>
    <x v="38"/>
    <x v="6"/>
    <x v="3"/>
    <x v="3"/>
    <n v="8.5"/>
    <n v="10.4"/>
    <x v="2"/>
    <n v="148"/>
  </r>
  <r>
    <x v="53"/>
    <x v="1"/>
    <x v="3"/>
    <x v="2"/>
    <n v="8.5"/>
    <n v="18.3"/>
    <x v="0"/>
    <n v="149"/>
  </r>
  <r>
    <x v="53"/>
    <x v="1"/>
    <x v="3"/>
    <x v="2"/>
    <n v="8.5"/>
    <n v="14.1"/>
    <x v="2"/>
    <n v="150"/>
  </r>
  <r>
    <x v="28"/>
    <x v="7"/>
    <x v="3"/>
    <x v="2"/>
    <n v="8.5"/>
    <n v="9.5"/>
    <x v="3"/>
    <n v="151"/>
  </r>
  <r>
    <x v="44"/>
    <x v="1"/>
    <x v="3"/>
    <x v="1"/>
    <n v="8.5"/>
    <n v="11.4"/>
    <x v="3"/>
    <n v="152"/>
  </r>
  <r>
    <x v="29"/>
    <x v="6"/>
    <x v="3"/>
    <x v="1"/>
    <n v="8.5"/>
    <n v="8.4"/>
    <x v="3"/>
    <n v="153"/>
  </r>
  <r>
    <x v="45"/>
    <x v="1"/>
    <x v="0"/>
    <x v="4"/>
    <n v="8.5"/>
    <n v="15"/>
    <x v="1"/>
    <n v="154"/>
  </r>
  <r>
    <x v="30"/>
    <x v="8"/>
    <x v="0"/>
    <x v="5"/>
    <n v="8.5"/>
    <n v="10.9"/>
    <x v="2"/>
    <n v="155"/>
  </r>
  <r>
    <x v="30"/>
    <x v="8"/>
    <x v="0"/>
    <x v="5"/>
    <n v="8.5"/>
    <n v="9"/>
    <x v="1"/>
    <n v="156"/>
  </r>
  <r>
    <x v="40"/>
    <x v="5"/>
    <x v="0"/>
    <x v="5"/>
    <n v="8.5"/>
    <n v="6.7"/>
    <x v="1"/>
    <n v="157"/>
  </r>
  <r>
    <x v="54"/>
    <x v="8"/>
    <x v="0"/>
    <x v="0"/>
    <n v="8.5"/>
    <n v="7.7"/>
    <x v="0"/>
    <n v="158"/>
  </r>
  <r>
    <x v="33"/>
    <x v="6"/>
    <x v="0"/>
    <x v="0"/>
    <n v="8.5"/>
    <n v="12.4"/>
    <x v="2"/>
    <n v="159"/>
  </r>
  <r>
    <x v="55"/>
    <x v="0"/>
    <x v="0"/>
    <x v="3"/>
    <n v="8.5"/>
    <n v="8.1999999999999993"/>
    <x v="1"/>
    <n v="160"/>
  </r>
  <r>
    <x v="56"/>
    <x v="9"/>
    <x v="0"/>
    <x v="3"/>
    <n v="8.5"/>
    <n v="14.8"/>
    <x v="0"/>
    <n v="161"/>
  </r>
  <r>
    <x v="42"/>
    <x v="0"/>
    <x v="0"/>
    <x v="2"/>
    <n v="8.5"/>
    <n v="12.6"/>
    <x v="2"/>
    <n v="162"/>
  </r>
  <r>
    <x v="49"/>
    <x v="4"/>
    <x v="1"/>
    <x v="4"/>
    <n v="8.5"/>
    <n v="7.2"/>
    <x v="2"/>
    <n v="163"/>
  </r>
  <r>
    <x v="26"/>
    <x v="5"/>
    <x v="2"/>
    <x v="3"/>
    <n v="8.5"/>
    <n v="15.2"/>
    <x v="2"/>
    <n v="164"/>
  </r>
  <r>
    <x v="26"/>
    <x v="5"/>
    <x v="2"/>
    <x v="3"/>
    <n v="8.5"/>
    <n v="10.1"/>
    <x v="3"/>
    <n v="165"/>
  </r>
  <r>
    <x v="43"/>
    <x v="7"/>
    <x v="3"/>
    <x v="5"/>
    <n v="8.4"/>
    <n v="13.2"/>
    <x v="2"/>
    <n v="166"/>
  </r>
  <r>
    <x v="57"/>
    <x v="5"/>
    <x v="3"/>
    <x v="0"/>
    <n v="8.4"/>
    <n v="18.3"/>
    <x v="0"/>
    <n v="167"/>
  </r>
  <r>
    <x v="51"/>
    <x v="1"/>
    <x v="3"/>
    <x v="3"/>
    <n v="8.4"/>
    <n v="11"/>
    <x v="1"/>
    <n v="168"/>
  </r>
  <r>
    <x v="28"/>
    <x v="7"/>
    <x v="3"/>
    <x v="2"/>
    <n v="8.4"/>
    <n v="13.9"/>
    <x v="2"/>
    <n v="169"/>
  </r>
  <r>
    <x v="58"/>
    <x v="0"/>
    <x v="0"/>
    <x v="4"/>
    <n v="8.4"/>
    <n v="12.2"/>
    <x v="0"/>
    <n v="170"/>
  </r>
  <r>
    <x v="39"/>
    <x v="3"/>
    <x v="0"/>
    <x v="4"/>
    <n v="8.4"/>
    <n v="4.4000000000000004"/>
    <x v="1"/>
    <n v="171"/>
  </r>
  <r>
    <x v="46"/>
    <x v="1"/>
    <x v="0"/>
    <x v="5"/>
    <n v="8.4"/>
    <n v="13.9"/>
    <x v="2"/>
    <n v="172"/>
  </r>
  <r>
    <x v="40"/>
    <x v="5"/>
    <x v="0"/>
    <x v="5"/>
    <n v="8.4"/>
    <n v="9.3000000000000007"/>
    <x v="2"/>
    <n v="173"/>
  </r>
  <r>
    <x v="47"/>
    <x v="3"/>
    <x v="0"/>
    <x v="5"/>
    <n v="8.4"/>
    <n v="7.4"/>
    <x v="2"/>
    <n v="174"/>
  </r>
  <r>
    <x v="59"/>
    <x v="1"/>
    <x v="0"/>
    <x v="0"/>
    <n v="8.4"/>
    <n v="13.6"/>
    <x v="0"/>
    <n v="175"/>
  </r>
  <r>
    <x v="59"/>
    <x v="1"/>
    <x v="0"/>
    <x v="0"/>
    <n v="8.4"/>
    <n v="10.1"/>
    <x v="2"/>
    <n v="176"/>
  </r>
  <r>
    <x v="33"/>
    <x v="6"/>
    <x v="0"/>
    <x v="0"/>
    <n v="8.4"/>
    <n v="8.6"/>
    <x v="3"/>
    <n v="177"/>
  </r>
  <r>
    <x v="60"/>
    <x v="1"/>
    <x v="0"/>
    <x v="3"/>
    <n v="8.4"/>
    <n v="22.6"/>
    <x v="0"/>
    <n v="178"/>
  </r>
  <r>
    <x v="60"/>
    <x v="1"/>
    <x v="0"/>
    <x v="3"/>
    <n v="8.4"/>
    <n v="14.5"/>
    <x v="1"/>
    <n v="179"/>
  </r>
  <r>
    <x v="55"/>
    <x v="0"/>
    <x v="0"/>
    <x v="3"/>
    <n v="8.4"/>
    <n v="14.6"/>
    <x v="0"/>
    <n v="180"/>
  </r>
  <r>
    <x v="56"/>
    <x v="9"/>
    <x v="0"/>
    <x v="3"/>
    <n v="8.4"/>
    <n v="11.3"/>
    <x v="2"/>
    <n v="181"/>
  </r>
  <r>
    <x v="49"/>
    <x v="4"/>
    <x v="1"/>
    <x v="4"/>
    <n v="8.4"/>
    <n v="5.9"/>
    <x v="1"/>
    <n v="182"/>
  </r>
  <r>
    <x v="61"/>
    <x v="3"/>
    <x v="1"/>
    <x v="5"/>
    <n v="8.4"/>
    <n v="7.4"/>
    <x v="0"/>
    <n v="183"/>
  </r>
  <r>
    <x v="25"/>
    <x v="6"/>
    <x v="1"/>
    <x v="0"/>
    <n v="8.4"/>
    <n v="7.3"/>
    <x v="3"/>
    <n v="184"/>
  </r>
  <r>
    <x v="62"/>
    <x v="1"/>
    <x v="2"/>
    <x v="2"/>
    <n v="8.4"/>
    <n v="18.3"/>
    <x v="0"/>
    <n v="185"/>
  </r>
  <r>
    <x v="62"/>
    <x v="1"/>
    <x v="2"/>
    <x v="2"/>
    <n v="8.4"/>
    <n v="14.6"/>
    <x v="2"/>
    <n v="186"/>
  </r>
  <r>
    <x v="43"/>
    <x v="7"/>
    <x v="3"/>
    <x v="5"/>
    <n v="8.3000000000000007"/>
    <n v="8.1999999999999993"/>
    <x v="3"/>
    <n v="187"/>
  </r>
  <r>
    <x v="63"/>
    <x v="7"/>
    <x v="3"/>
    <x v="0"/>
    <n v="8.3000000000000007"/>
    <n v="8.1"/>
    <x v="0"/>
    <n v="188"/>
  </r>
  <r>
    <x v="63"/>
    <x v="7"/>
    <x v="3"/>
    <x v="0"/>
    <n v="8.3000000000000007"/>
    <n v="6"/>
    <x v="1"/>
    <n v="189"/>
  </r>
  <r>
    <x v="52"/>
    <x v="7"/>
    <x v="3"/>
    <x v="3"/>
    <n v="8.3000000000000007"/>
    <n v="12.7"/>
    <x v="2"/>
    <n v="190"/>
  </r>
  <r>
    <x v="52"/>
    <x v="7"/>
    <x v="3"/>
    <x v="3"/>
    <n v="8.3000000000000007"/>
    <n v="8.6999999999999993"/>
    <x v="3"/>
    <n v="191"/>
  </r>
  <r>
    <x v="38"/>
    <x v="6"/>
    <x v="3"/>
    <x v="3"/>
    <n v="8.3000000000000007"/>
    <n v="7.7"/>
    <x v="3"/>
    <n v="192"/>
  </r>
  <r>
    <x v="53"/>
    <x v="1"/>
    <x v="3"/>
    <x v="2"/>
    <n v="8.3000000000000007"/>
    <n v="9.6"/>
    <x v="3"/>
    <n v="193"/>
  </r>
  <r>
    <x v="45"/>
    <x v="1"/>
    <x v="0"/>
    <x v="4"/>
    <n v="8.3000000000000007"/>
    <n v="19.399999999999999"/>
    <x v="2"/>
    <n v="194"/>
  </r>
  <r>
    <x v="64"/>
    <x v="7"/>
    <x v="0"/>
    <x v="4"/>
    <n v="8.3000000000000007"/>
    <n v="10.9"/>
    <x v="0"/>
    <n v="195"/>
  </r>
  <r>
    <x v="65"/>
    <x v="6"/>
    <x v="0"/>
    <x v="4"/>
    <n v="8.3000000000000007"/>
    <n v="9.5"/>
    <x v="0"/>
    <n v="196"/>
  </r>
  <r>
    <x v="66"/>
    <x v="9"/>
    <x v="0"/>
    <x v="5"/>
    <n v="8.3000000000000007"/>
    <n v="20"/>
    <x v="0"/>
    <n v="197"/>
  </r>
  <r>
    <x v="67"/>
    <x v="1"/>
    <x v="0"/>
    <x v="5"/>
    <n v="8.3000000000000007"/>
    <n v="12.6"/>
    <x v="0"/>
    <n v="198"/>
  </r>
  <r>
    <x v="60"/>
    <x v="1"/>
    <x v="0"/>
    <x v="3"/>
    <n v="8.3000000000000007"/>
    <n v="18"/>
    <x v="2"/>
    <n v="199"/>
  </r>
  <r>
    <x v="68"/>
    <x v="4"/>
    <x v="0"/>
    <x v="3"/>
    <n v="8.3000000000000007"/>
    <n v="9.9"/>
    <x v="1"/>
    <n v="200"/>
  </r>
  <r>
    <x v="55"/>
    <x v="0"/>
    <x v="0"/>
    <x v="3"/>
    <n v="8.3000000000000007"/>
    <n v="11"/>
    <x v="2"/>
    <n v="201"/>
  </r>
  <r>
    <x v="48"/>
    <x v="1"/>
    <x v="0"/>
    <x v="2"/>
    <n v="8.3000000000000007"/>
    <n v="13.3"/>
    <x v="3"/>
    <n v="202"/>
  </r>
  <r>
    <x v="69"/>
    <x v="8"/>
    <x v="0"/>
    <x v="2"/>
    <n v="8.3000000000000007"/>
    <n v="12.5"/>
    <x v="0"/>
    <n v="203"/>
  </r>
  <r>
    <x v="70"/>
    <x v="8"/>
    <x v="2"/>
    <x v="4"/>
    <n v="8.3000000000000007"/>
    <n v="10.3"/>
    <x v="0"/>
    <n v="204"/>
  </r>
  <r>
    <x v="70"/>
    <x v="8"/>
    <x v="2"/>
    <x v="4"/>
    <n v="8.3000000000000007"/>
    <n v="6.2"/>
    <x v="1"/>
    <n v="205"/>
  </r>
  <r>
    <x v="50"/>
    <x v="9"/>
    <x v="2"/>
    <x v="5"/>
    <n v="8.3000000000000007"/>
    <n v="8.8000000000000007"/>
    <x v="3"/>
    <n v="206"/>
  </r>
  <r>
    <x v="71"/>
    <x v="1"/>
    <x v="2"/>
    <x v="0"/>
    <n v="8.3000000000000007"/>
    <n v="10.5"/>
    <x v="0"/>
    <n v="207"/>
  </r>
  <r>
    <x v="72"/>
    <x v="1"/>
    <x v="2"/>
    <x v="3"/>
    <n v="8.3000000000000007"/>
    <n v="16.899999999999999"/>
    <x v="0"/>
    <n v="208"/>
  </r>
  <r>
    <x v="62"/>
    <x v="1"/>
    <x v="2"/>
    <x v="2"/>
    <n v="8.3000000000000007"/>
    <n v="9.6"/>
    <x v="3"/>
    <n v="209"/>
  </r>
  <r>
    <x v="73"/>
    <x v="6"/>
    <x v="3"/>
    <x v="5"/>
    <n v="8.1999999999999993"/>
    <n v="8.5"/>
    <x v="0"/>
    <n v="210"/>
  </r>
  <r>
    <x v="63"/>
    <x v="7"/>
    <x v="3"/>
    <x v="0"/>
    <n v="8.1999999999999993"/>
    <n v="6.6"/>
    <x v="2"/>
    <n v="211"/>
  </r>
  <r>
    <x v="51"/>
    <x v="1"/>
    <x v="3"/>
    <x v="3"/>
    <n v="8.1999999999999993"/>
    <n v="13.5"/>
    <x v="2"/>
    <n v="212"/>
  </r>
  <r>
    <x v="45"/>
    <x v="1"/>
    <x v="0"/>
    <x v="4"/>
    <n v="8.1999999999999993"/>
    <n v="12.3"/>
    <x v="3"/>
    <n v="213"/>
  </r>
  <r>
    <x v="58"/>
    <x v="0"/>
    <x v="0"/>
    <x v="4"/>
    <n v="8.1999999999999993"/>
    <n v="8.3000000000000007"/>
    <x v="1"/>
    <n v="214"/>
  </r>
  <r>
    <x v="74"/>
    <x v="0"/>
    <x v="0"/>
    <x v="4"/>
    <n v="8.1999999999999993"/>
    <n v="11.5"/>
    <x v="0"/>
    <n v="215"/>
  </r>
  <r>
    <x v="75"/>
    <x v="7"/>
    <x v="0"/>
    <x v="0"/>
    <n v="8.1999999999999993"/>
    <n v="11.9"/>
    <x v="0"/>
    <n v="216"/>
  </r>
  <r>
    <x v="54"/>
    <x v="8"/>
    <x v="0"/>
    <x v="0"/>
    <n v="8.1999999999999993"/>
    <n v="4.9000000000000004"/>
    <x v="1"/>
    <n v="217"/>
  </r>
  <r>
    <x v="60"/>
    <x v="1"/>
    <x v="0"/>
    <x v="3"/>
    <n v="8.1999999999999993"/>
    <n v="11.5"/>
    <x v="3"/>
    <n v="218"/>
  </r>
  <r>
    <x v="68"/>
    <x v="4"/>
    <x v="0"/>
    <x v="3"/>
    <n v="8.1999999999999993"/>
    <n v="15.3"/>
    <x v="0"/>
    <n v="219"/>
  </r>
  <r>
    <x v="68"/>
    <x v="4"/>
    <x v="0"/>
    <x v="3"/>
    <n v="8.1999999999999993"/>
    <n v="11.9"/>
    <x v="2"/>
    <n v="220"/>
  </r>
  <r>
    <x v="56"/>
    <x v="9"/>
    <x v="0"/>
    <x v="3"/>
    <n v="8.1999999999999993"/>
    <n v="7.9"/>
    <x v="3"/>
    <n v="221"/>
  </r>
  <r>
    <x v="76"/>
    <x v="0"/>
    <x v="0"/>
    <x v="3"/>
    <n v="8.1999999999999993"/>
    <n v="11.4"/>
    <x v="0"/>
    <n v="222"/>
  </r>
  <r>
    <x v="76"/>
    <x v="0"/>
    <x v="0"/>
    <x v="3"/>
    <n v="8.1999999999999993"/>
    <n v="8.1"/>
    <x v="2"/>
    <n v="223"/>
  </r>
  <r>
    <x v="76"/>
    <x v="0"/>
    <x v="0"/>
    <x v="3"/>
    <n v="8.1999999999999993"/>
    <n v="7.5"/>
    <x v="1"/>
    <n v="224"/>
  </r>
  <r>
    <x v="77"/>
    <x v="2"/>
    <x v="1"/>
    <x v="4"/>
    <n v="8.1999999999999993"/>
    <n v="7.8"/>
    <x v="0"/>
    <n v="225"/>
  </r>
  <r>
    <x v="78"/>
    <x v="9"/>
    <x v="1"/>
    <x v="4"/>
    <n v="8.1999999999999993"/>
    <n v="6.9"/>
    <x v="0"/>
    <n v="226"/>
  </r>
  <r>
    <x v="79"/>
    <x v="7"/>
    <x v="1"/>
    <x v="0"/>
    <n v="8.1999999999999993"/>
    <n v="8.1999999999999993"/>
    <x v="0"/>
    <n v="227"/>
  </r>
  <r>
    <x v="79"/>
    <x v="7"/>
    <x v="1"/>
    <x v="0"/>
    <n v="8.1999999999999993"/>
    <n v="4.9000000000000004"/>
    <x v="1"/>
    <n v="228"/>
  </r>
  <r>
    <x v="80"/>
    <x v="7"/>
    <x v="1"/>
    <x v="1"/>
    <n v="8.1999999999999993"/>
    <n v="11.3"/>
    <x v="0"/>
    <n v="229"/>
  </r>
  <r>
    <x v="80"/>
    <x v="7"/>
    <x v="1"/>
    <x v="1"/>
    <n v="8.1999999999999993"/>
    <n v="6.4"/>
    <x v="1"/>
    <n v="230"/>
  </r>
  <r>
    <x v="70"/>
    <x v="8"/>
    <x v="2"/>
    <x v="4"/>
    <n v="8.1999999999999993"/>
    <n v="8.9"/>
    <x v="2"/>
    <n v="231"/>
  </r>
  <r>
    <x v="50"/>
    <x v="9"/>
    <x v="2"/>
    <x v="5"/>
    <n v="8.1999999999999993"/>
    <n v="13.9"/>
    <x v="2"/>
    <n v="232"/>
  </r>
  <r>
    <x v="81"/>
    <x v="1"/>
    <x v="2"/>
    <x v="1"/>
    <n v="8.1999999999999993"/>
    <n v="17.600000000000001"/>
    <x v="0"/>
    <n v="233"/>
  </r>
  <r>
    <x v="57"/>
    <x v="5"/>
    <x v="3"/>
    <x v="0"/>
    <n v="8.1"/>
    <n v="14.4"/>
    <x v="2"/>
    <n v="234"/>
  </r>
  <r>
    <x v="57"/>
    <x v="5"/>
    <x v="3"/>
    <x v="0"/>
    <n v="8.1"/>
    <n v="10.1"/>
    <x v="3"/>
    <n v="235"/>
  </r>
  <r>
    <x v="51"/>
    <x v="1"/>
    <x v="3"/>
    <x v="3"/>
    <n v="8.1"/>
    <n v="8.9"/>
    <x v="3"/>
    <n v="236"/>
  </r>
  <r>
    <x v="72"/>
    <x v="1"/>
    <x v="3"/>
    <x v="3"/>
    <n v="8.1"/>
    <n v="17.100000000000001"/>
    <x v="0"/>
    <n v="237"/>
  </r>
  <r>
    <x v="82"/>
    <x v="8"/>
    <x v="3"/>
    <x v="2"/>
    <n v="8.1"/>
    <n v="9.1999999999999993"/>
    <x v="0"/>
    <n v="238"/>
  </r>
  <r>
    <x v="83"/>
    <x v="9"/>
    <x v="3"/>
    <x v="2"/>
    <n v="8.1"/>
    <n v="11.9"/>
    <x v="0"/>
    <n v="239"/>
  </r>
  <r>
    <x v="58"/>
    <x v="0"/>
    <x v="0"/>
    <x v="4"/>
    <n v="8.1"/>
    <n v="10.199999999999999"/>
    <x v="2"/>
    <n v="240"/>
  </r>
  <r>
    <x v="64"/>
    <x v="7"/>
    <x v="0"/>
    <x v="4"/>
    <n v="8.1"/>
    <n v="8.6999999999999993"/>
    <x v="2"/>
    <n v="241"/>
  </r>
  <r>
    <x v="64"/>
    <x v="7"/>
    <x v="0"/>
    <x v="4"/>
    <n v="8.1"/>
    <n v="6.9"/>
    <x v="1"/>
    <n v="242"/>
  </r>
  <r>
    <x v="84"/>
    <x v="0"/>
    <x v="0"/>
    <x v="4"/>
    <n v="8.1"/>
    <n v="14"/>
    <x v="0"/>
    <n v="243"/>
  </r>
  <r>
    <x v="84"/>
    <x v="0"/>
    <x v="0"/>
    <x v="4"/>
    <n v="8.1"/>
    <n v="10.5"/>
    <x v="2"/>
    <n v="244"/>
  </r>
  <r>
    <x v="85"/>
    <x v="8"/>
    <x v="0"/>
    <x v="4"/>
    <n v="8.1"/>
    <n v="12"/>
    <x v="0"/>
    <n v="245"/>
  </r>
  <r>
    <x v="46"/>
    <x v="1"/>
    <x v="0"/>
    <x v="5"/>
    <n v="8.1"/>
    <n v="9.4"/>
    <x v="3"/>
    <n v="246"/>
  </r>
  <r>
    <x v="86"/>
    <x v="1"/>
    <x v="0"/>
    <x v="5"/>
    <n v="8.1"/>
    <n v="17"/>
    <x v="0"/>
    <n v="247"/>
  </r>
  <r>
    <x v="67"/>
    <x v="1"/>
    <x v="0"/>
    <x v="5"/>
    <n v="8.1"/>
    <n v="8"/>
    <x v="1"/>
    <n v="248"/>
  </r>
  <r>
    <x v="59"/>
    <x v="1"/>
    <x v="0"/>
    <x v="0"/>
    <n v="8.1"/>
    <n v="7.3"/>
    <x v="3"/>
    <n v="249"/>
  </r>
  <r>
    <x v="87"/>
    <x v="1"/>
    <x v="0"/>
    <x v="0"/>
    <n v="8.1"/>
    <n v="9.5"/>
    <x v="0"/>
    <n v="250"/>
  </r>
  <r>
    <x v="88"/>
    <x v="1"/>
    <x v="0"/>
    <x v="3"/>
    <n v="8.1"/>
    <n v="18.5"/>
    <x v="0"/>
    <n v="251"/>
  </r>
  <r>
    <x v="88"/>
    <x v="1"/>
    <x v="0"/>
    <x v="3"/>
    <n v="8.1"/>
    <n v="14.5"/>
    <x v="2"/>
    <n v="252"/>
  </r>
  <r>
    <x v="69"/>
    <x v="8"/>
    <x v="0"/>
    <x v="2"/>
    <n v="8.1"/>
    <n v="7.1"/>
    <x v="1"/>
    <n v="253"/>
  </r>
  <r>
    <x v="69"/>
    <x v="8"/>
    <x v="0"/>
    <x v="2"/>
    <n v="8.1"/>
    <n v="9"/>
    <x v="2"/>
    <n v="254"/>
  </r>
  <r>
    <x v="61"/>
    <x v="3"/>
    <x v="1"/>
    <x v="5"/>
    <n v="8.1"/>
    <n v="4.7"/>
    <x v="1"/>
    <n v="255"/>
  </r>
  <r>
    <x v="61"/>
    <x v="3"/>
    <x v="1"/>
    <x v="5"/>
    <n v="8.1"/>
    <n v="5.2"/>
    <x v="2"/>
    <n v="256"/>
  </r>
  <r>
    <x v="89"/>
    <x v="9"/>
    <x v="1"/>
    <x v="5"/>
    <n v="8.1"/>
    <n v="11.7"/>
    <x v="0"/>
    <n v="257"/>
  </r>
  <r>
    <x v="79"/>
    <x v="7"/>
    <x v="1"/>
    <x v="0"/>
    <n v="8.1"/>
    <n v="6.3"/>
    <x v="2"/>
    <n v="258"/>
  </r>
  <r>
    <x v="90"/>
    <x v="9"/>
    <x v="1"/>
    <x v="0"/>
    <n v="8.1"/>
    <n v="10.6"/>
    <x v="0"/>
    <n v="259"/>
  </r>
  <r>
    <x v="91"/>
    <x v="1"/>
    <x v="2"/>
    <x v="4"/>
    <n v="8.1"/>
    <n v="13.6"/>
    <x v="0"/>
    <n v="260"/>
  </r>
  <r>
    <x v="86"/>
    <x v="1"/>
    <x v="2"/>
    <x v="5"/>
    <n v="8.1"/>
    <n v="17.3"/>
    <x v="0"/>
    <n v="261"/>
  </r>
  <r>
    <x v="86"/>
    <x v="1"/>
    <x v="2"/>
    <x v="5"/>
    <n v="8.1"/>
    <n v="13.3"/>
    <x v="2"/>
    <n v="262"/>
  </r>
  <r>
    <x v="92"/>
    <x v="2"/>
    <x v="2"/>
    <x v="0"/>
    <n v="8.1"/>
    <n v="11.5"/>
    <x v="0"/>
    <n v="263"/>
  </r>
  <r>
    <x v="93"/>
    <x v="1"/>
    <x v="2"/>
    <x v="3"/>
    <n v="8.1"/>
    <n v="14.2"/>
    <x v="0"/>
    <n v="264"/>
  </r>
  <r>
    <x v="94"/>
    <x v="1"/>
    <x v="2"/>
    <x v="2"/>
    <n v="8.1"/>
    <n v="17"/>
    <x v="0"/>
    <n v="265"/>
  </r>
  <r>
    <x v="73"/>
    <x v="6"/>
    <x v="3"/>
    <x v="5"/>
    <n v="8"/>
    <n v="5"/>
    <x v="1"/>
    <n v="266"/>
  </r>
  <r>
    <x v="95"/>
    <x v="1"/>
    <x v="3"/>
    <x v="0"/>
    <n v="8"/>
    <n v="9.4"/>
    <x v="0"/>
    <n v="267"/>
  </r>
  <r>
    <x v="82"/>
    <x v="8"/>
    <x v="3"/>
    <x v="2"/>
    <n v="8"/>
    <n v="5.6"/>
    <x v="1"/>
    <n v="268"/>
  </r>
  <r>
    <x v="74"/>
    <x v="0"/>
    <x v="0"/>
    <x v="4"/>
    <n v="8"/>
    <n v="9.1999999999999993"/>
    <x v="2"/>
    <n v="269"/>
  </r>
  <r>
    <x v="74"/>
    <x v="0"/>
    <x v="0"/>
    <x v="4"/>
    <n v="8"/>
    <n v="5.9"/>
    <x v="3"/>
    <n v="270"/>
  </r>
  <r>
    <x v="65"/>
    <x v="6"/>
    <x v="0"/>
    <x v="4"/>
    <n v="8"/>
    <n v="5.0999999999999996"/>
    <x v="3"/>
    <n v="271"/>
  </r>
  <r>
    <x v="84"/>
    <x v="0"/>
    <x v="0"/>
    <x v="4"/>
    <n v="8"/>
    <n v="7.1"/>
    <x v="3"/>
    <n v="272"/>
  </r>
  <r>
    <x v="85"/>
    <x v="8"/>
    <x v="0"/>
    <x v="4"/>
    <n v="8"/>
    <n v="8.6"/>
    <x v="2"/>
    <n v="273"/>
  </r>
  <r>
    <x v="66"/>
    <x v="9"/>
    <x v="0"/>
    <x v="5"/>
    <n v="8"/>
    <n v="15.1"/>
    <x v="2"/>
    <n v="274"/>
  </r>
  <r>
    <x v="66"/>
    <x v="9"/>
    <x v="0"/>
    <x v="5"/>
    <n v="8"/>
    <n v="11.8"/>
    <x v="1"/>
    <n v="275"/>
  </r>
  <r>
    <x v="86"/>
    <x v="1"/>
    <x v="0"/>
    <x v="5"/>
    <n v="8"/>
    <n v="13.9"/>
    <x v="2"/>
    <n v="276"/>
  </r>
  <r>
    <x v="96"/>
    <x v="0"/>
    <x v="0"/>
    <x v="5"/>
    <n v="8"/>
    <n v="10.3"/>
    <x v="0"/>
    <n v="277"/>
  </r>
  <r>
    <x v="75"/>
    <x v="7"/>
    <x v="0"/>
    <x v="0"/>
    <n v="8"/>
    <n v="8.9"/>
    <x v="2"/>
    <n v="278"/>
  </r>
  <r>
    <x v="77"/>
    <x v="2"/>
    <x v="1"/>
    <x v="4"/>
    <n v="8"/>
    <n v="5.0999999999999996"/>
    <x v="1"/>
    <n v="279"/>
  </r>
  <r>
    <x v="77"/>
    <x v="2"/>
    <x v="1"/>
    <x v="4"/>
    <n v="8"/>
    <n v="6.1"/>
    <x v="2"/>
    <n v="280"/>
  </r>
  <r>
    <x v="89"/>
    <x v="9"/>
    <x v="1"/>
    <x v="5"/>
    <n v="8"/>
    <n v="6.4"/>
    <x v="3"/>
    <n v="281"/>
  </r>
  <r>
    <x v="97"/>
    <x v="7"/>
    <x v="1"/>
    <x v="3"/>
    <n v="8"/>
    <n v="9.4"/>
    <x v="0"/>
    <n v="282"/>
  </r>
  <r>
    <x v="86"/>
    <x v="1"/>
    <x v="2"/>
    <x v="5"/>
    <n v="8"/>
    <n v="9.1999999999999993"/>
    <x v="3"/>
    <n v="283"/>
  </r>
  <r>
    <x v="92"/>
    <x v="2"/>
    <x v="2"/>
    <x v="0"/>
    <n v="8"/>
    <n v="8.1999999999999993"/>
    <x v="2"/>
    <n v="284"/>
  </r>
  <r>
    <x v="92"/>
    <x v="2"/>
    <x v="2"/>
    <x v="0"/>
    <n v="8"/>
    <n v="6.6"/>
    <x v="1"/>
    <n v="285"/>
  </r>
  <r>
    <x v="71"/>
    <x v="1"/>
    <x v="2"/>
    <x v="0"/>
    <n v="8"/>
    <n v="5.9"/>
    <x v="3"/>
    <n v="286"/>
  </r>
  <r>
    <x v="81"/>
    <x v="1"/>
    <x v="2"/>
    <x v="1"/>
    <n v="8"/>
    <n v="14.6"/>
    <x v="2"/>
    <n v="287"/>
  </r>
  <r>
    <x v="73"/>
    <x v="6"/>
    <x v="3"/>
    <x v="5"/>
    <n v="7.9"/>
    <n v="6.4"/>
    <x v="2"/>
    <n v="288"/>
  </r>
  <r>
    <x v="98"/>
    <x v="9"/>
    <x v="3"/>
    <x v="0"/>
    <n v="7.9"/>
    <n v="8.3000000000000007"/>
    <x v="0"/>
    <n v="289"/>
  </r>
  <r>
    <x v="83"/>
    <x v="9"/>
    <x v="3"/>
    <x v="2"/>
    <n v="7.9"/>
    <n v="7.9"/>
    <x v="1"/>
    <n v="290"/>
  </r>
  <r>
    <x v="65"/>
    <x v="6"/>
    <x v="0"/>
    <x v="4"/>
    <n v="7.9"/>
    <n v="7.8"/>
    <x v="2"/>
    <n v="291"/>
  </r>
  <r>
    <x v="85"/>
    <x v="8"/>
    <x v="0"/>
    <x v="4"/>
    <n v="7.9"/>
    <n v="6.6"/>
    <x v="3"/>
    <n v="292"/>
  </r>
  <r>
    <x v="67"/>
    <x v="1"/>
    <x v="0"/>
    <x v="5"/>
    <n v="7.9"/>
    <n v="10.3"/>
    <x v="2"/>
    <n v="293"/>
  </r>
  <r>
    <x v="75"/>
    <x v="7"/>
    <x v="0"/>
    <x v="0"/>
    <n v="7.9"/>
    <n v="5.9"/>
    <x v="3"/>
    <n v="294"/>
  </r>
  <r>
    <x v="87"/>
    <x v="1"/>
    <x v="0"/>
    <x v="0"/>
    <n v="7.9"/>
    <n v="6.1"/>
    <x v="1"/>
    <n v="295"/>
  </r>
  <r>
    <x v="68"/>
    <x v="4"/>
    <x v="0"/>
    <x v="3"/>
    <n v="7.9"/>
    <n v="7.7"/>
    <x v="3"/>
    <n v="296"/>
  </r>
  <r>
    <x v="88"/>
    <x v="1"/>
    <x v="0"/>
    <x v="3"/>
    <n v="7.9"/>
    <n v="10.1"/>
    <x v="3"/>
    <n v="297"/>
  </r>
  <r>
    <x v="99"/>
    <x v="6"/>
    <x v="1"/>
    <x v="4"/>
    <n v="7.9"/>
    <n v="7.7"/>
    <x v="0"/>
    <n v="298"/>
  </r>
  <r>
    <x v="99"/>
    <x v="6"/>
    <x v="1"/>
    <x v="4"/>
    <n v="7.9"/>
    <n v="5.2"/>
    <x v="1"/>
    <n v="299"/>
  </r>
  <r>
    <x v="78"/>
    <x v="9"/>
    <x v="1"/>
    <x v="4"/>
    <n v="7.9"/>
    <n v="5.2"/>
    <x v="1"/>
    <n v="300"/>
  </r>
  <r>
    <x v="89"/>
    <x v="9"/>
    <x v="1"/>
    <x v="5"/>
    <n v="7.9"/>
    <n v="9.4"/>
    <x v="2"/>
    <n v="301"/>
  </r>
  <r>
    <x v="90"/>
    <x v="9"/>
    <x v="1"/>
    <x v="0"/>
    <n v="7.9"/>
    <n v="5.0999999999999996"/>
    <x v="3"/>
    <n v="302"/>
  </r>
  <r>
    <x v="100"/>
    <x v="8"/>
    <x v="1"/>
    <x v="3"/>
    <n v="7.9"/>
    <n v="8.1999999999999993"/>
    <x v="0"/>
    <n v="303"/>
  </r>
  <r>
    <x v="97"/>
    <x v="7"/>
    <x v="1"/>
    <x v="3"/>
    <n v="7.9"/>
    <n v="5.7"/>
    <x v="1"/>
    <n v="304"/>
  </r>
  <r>
    <x v="101"/>
    <x v="7"/>
    <x v="1"/>
    <x v="2"/>
    <n v="7.9"/>
    <n v="9.8000000000000007"/>
    <x v="0"/>
    <n v="305"/>
  </r>
  <r>
    <x v="101"/>
    <x v="7"/>
    <x v="1"/>
    <x v="2"/>
    <n v="7.9"/>
    <n v="7.8"/>
    <x v="2"/>
    <n v="306"/>
  </r>
  <r>
    <x v="80"/>
    <x v="7"/>
    <x v="1"/>
    <x v="1"/>
    <n v="7.9"/>
    <n v="7.9"/>
    <x v="2"/>
    <n v="307"/>
  </r>
  <r>
    <x v="102"/>
    <x v="0"/>
    <x v="2"/>
    <x v="5"/>
    <n v="7.9"/>
    <n v="10.1"/>
    <x v="0"/>
    <n v="308"/>
  </r>
  <r>
    <x v="71"/>
    <x v="1"/>
    <x v="2"/>
    <x v="0"/>
    <n v="7.9"/>
    <n v="7.7"/>
    <x v="2"/>
    <n v="309"/>
  </r>
  <r>
    <x v="72"/>
    <x v="1"/>
    <x v="2"/>
    <x v="3"/>
    <n v="7.9"/>
    <n v="13.6"/>
    <x v="2"/>
    <n v="310"/>
  </r>
  <r>
    <x v="72"/>
    <x v="1"/>
    <x v="2"/>
    <x v="3"/>
    <n v="7.9"/>
    <n v="8.4"/>
    <x v="3"/>
    <n v="311"/>
  </r>
  <r>
    <x v="103"/>
    <x v="1"/>
    <x v="2"/>
    <x v="3"/>
    <n v="7.9"/>
    <n v="10.6"/>
    <x v="1"/>
    <n v="312"/>
  </r>
  <r>
    <x v="104"/>
    <x v="6"/>
    <x v="3"/>
    <x v="0"/>
    <n v="7.8"/>
    <n v="9"/>
    <x v="0"/>
    <n v="313"/>
  </r>
  <r>
    <x v="95"/>
    <x v="1"/>
    <x v="3"/>
    <x v="0"/>
    <n v="7.8"/>
    <n v="7"/>
    <x v="2"/>
    <n v="314"/>
  </r>
  <r>
    <x v="72"/>
    <x v="1"/>
    <x v="3"/>
    <x v="3"/>
    <n v="7.8"/>
    <n v="8.9"/>
    <x v="3"/>
    <n v="315"/>
  </r>
  <r>
    <x v="82"/>
    <x v="8"/>
    <x v="3"/>
    <x v="2"/>
    <n v="7.8"/>
    <n v="7.5"/>
    <x v="2"/>
    <n v="316"/>
  </r>
  <r>
    <x v="66"/>
    <x v="9"/>
    <x v="0"/>
    <x v="5"/>
    <n v="7.8"/>
    <n v="10.199999999999999"/>
    <x v="3"/>
    <n v="317"/>
  </r>
  <r>
    <x v="86"/>
    <x v="1"/>
    <x v="0"/>
    <x v="5"/>
    <n v="7.8"/>
    <n v="9"/>
    <x v="3"/>
    <n v="318"/>
  </r>
  <r>
    <x v="87"/>
    <x v="1"/>
    <x v="0"/>
    <x v="0"/>
    <n v="7.8"/>
    <n v="7.3"/>
    <x v="2"/>
    <n v="319"/>
  </r>
  <r>
    <x v="105"/>
    <x v="4"/>
    <x v="1"/>
    <x v="5"/>
    <n v="7.8"/>
    <n v="6.8"/>
    <x v="0"/>
    <n v="320"/>
  </r>
  <r>
    <x v="105"/>
    <x v="4"/>
    <x v="1"/>
    <x v="5"/>
    <n v="7.8"/>
    <n v="3.9"/>
    <x v="1"/>
    <n v="321"/>
  </r>
  <r>
    <x v="106"/>
    <x v="9"/>
    <x v="1"/>
    <x v="5"/>
    <n v="7.8"/>
    <n v="9.1999999999999993"/>
    <x v="0"/>
    <n v="322"/>
  </r>
  <r>
    <x v="106"/>
    <x v="9"/>
    <x v="1"/>
    <x v="5"/>
    <n v="7.8"/>
    <n v="5.8"/>
    <x v="1"/>
    <n v="323"/>
  </r>
  <r>
    <x v="106"/>
    <x v="9"/>
    <x v="1"/>
    <x v="5"/>
    <n v="7.8"/>
    <n v="7.4"/>
    <x v="2"/>
    <n v="324"/>
  </r>
  <r>
    <x v="90"/>
    <x v="9"/>
    <x v="1"/>
    <x v="0"/>
    <n v="7.8"/>
    <n v="8.6999999999999993"/>
    <x v="2"/>
    <n v="325"/>
  </r>
  <r>
    <x v="91"/>
    <x v="1"/>
    <x v="2"/>
    <x v="4"/>
    <n v="7.8"/>
    <n v="10.7"/>
    <x v="2"/>
    <n v="326"/>
  </r>
  <r>
    <x v="91"/>
    <x v="1"/>
    <x v="2"/>
    <x v="4"/>
    <n v="7.8"/>
    <n v="7.3"/>
    <x v="3"/>
    <n v="327"/>
  </r>
  <r>
    <x v="102"/>
    <x v="0"/>
    <x v="2"/>
    <x v="5"/>
    <n v="7.8"/>
    <n v="7.8"/>
    <x v="2"/>
    <n v="328"/>
  </r>
  <r>
    <x v="107"/>
    <x v="1"/>
    <x v="2"/>
    <x v="5"/>
    <n v="7.8"/>
    <n v="16.2"/>
    <x v="0"/>
    <n v="329"/>
  </r>
  <r>
    <x v="103"/>
    <x v="1"/>
    <x v="2"/>
    <x v="3"/>
    <n v="7.8"/>
    <n v="16.2"/>
    <x v="0"/>
    <n v="330"/>
  </r>
  <r>
    <x v="94"/>
    <x v="1"/>
    <x v="2"/>
    <x v="2"/>
    <n v="7.8"/>
    <n v="13.4"/>
    <x v="2"/>
    <n v="331"/>
  </r>
  <r>
    <x v="81"/>
    <x v="1"/>
    <x v="2"/>
    <x v="1"/>
    <n v="7.8"/>
    <n v="9.6999999999999993"/>
    <x v="3"/>
    <n v="332"/>
  </r>
  <r>
    <x v="108"/>
    <x v="1"/>
    <x v="3"/>
    <x v="4"/>
    <n v="7.7"/>
    <n v="7.5"/>
    <x v="0"/>
    <n v="333"/>
  </r>
  <r>
    <x v="98"/>
    <x v="9"/>
    <x v="3"/>
    <x v="0"/>
    <n v="7.7"/>
    <n v="7"/>
    <x v="2"/>
    <n v="334"/>
  </r>
  <r>
    <x v="95"/>
    <x v="1"/>
    <x v="3"/>
    <x v="0"/>
    <n v="7.7"/>
    <n v="4.8"/>
    <x v="3"/>
    <n v="335"/>
  </r>
  <r>
    <x v="72"/>
    <x v="1"/>
    <x v="3"/>
    <x v="3"/>
    <n v="7.7"/>
    <n v="13.7"/>
    <x v="2"/>
    <n v="336"/>
  </r>
  <r>
    <x v="83"/>
    <x v="9"/>
    <x v="3"/>
    <x v="2"/>
    <n v="7.7"/>
    <n v="8.8000000000000007"/>
    <x v="2"/>
    <n v="337"/>
  </r>
  <r>
    <x v="109"/>
    <x v="5"/>
    <x v="0"/>
    <x v="4"/>
    <n v="7.7"/>
    <n v="8.1999999999999993"/>
    <x v="0"/>
    <n v="338"/>
  </r>
  <r>
    <x v="109"/>
    <x v="5"/>
    <x v="0"/>
    <x v="4"/>
    <n v="7.7"/>
    <n v="7.1"/>
    <x v="2"/>
    <n v="339"/>
  </r>
  <r>
    <x v="96"/>
    <x v="0"/>
    <x v="0"/>
    <x v="5"/>
    <n v="7.7"/>
    <n v="7.9"/>
    <x v="2"/>
    <n v="340"/>
  </r>
  <r>
    <x v="105"/>
    <x v="4"/>
    <x v="1"/>
    <x v="5"/>
    <n v="7.7"/>
    <n v="5.8"/>
    <x v="2"/>
    <n v="341"/>
  </r>
  <r>
    <x v="100"/>
    <x v="8"/>
    <x v="1"/>
    <x v="3"/>
    <n v="7.7"/>
    <n v="5.0999999999999996"/>
    <x v="1"/>
    <n v="342"/>
  </r>
  <r>
    <x v="100"/>
    <x v="8"/>
    <x v="1"/>
    <x v="3"/>
    <n v="7.7"/>
    <n v="5.4"/>
    <x v="2"/>
    <n v="343"/>
  </r>
  <r>
    <x v="97"/>
    <x v="7"/>
    <x v="1"/>
    <x v="3"/>
    <n v="7.7"/>
    <n v="7.5"/>
    <x v="2"/>
    <n v="344"/>
  </r>
  <r>
    <x v="110"/>
    <x v="5"/>
    <x v="2"/>
    <x v="4"/>
    <n v="7.7"/>
    <n v="9.8000000000000007"/>
    <x v="0"/>
    <n v="345"/>
  </r>
  <r>
    <x v="111"/>
    <x v="1"/>
    <x v="2"/>
    <x v="4"/>
    <n v="7.7"/>
    <n v="16.100000000000001"/>
    <x v="0"/>
    <n v="346"/>
  </r>
  <r>
    <x v="102"/>
    <x v="0"/>
    <x v="2"/>
    <x v="5"/>
    <n v="7.7"/>
    <n v="5.8"/>
    <x v="3"/>
    <n v="347"/>
  </r>
  <r>
    <x v="112"/>
    <x v="5"/>
    <x v="2"/>
    <x v="0"/>
    <n v="7.7"/>
    <n v="10.1"/>
    <x v="0"/>
    <n v="348"/>
  </r>
  <r>
    <x v="113"/>
    <x v="1"/>
    <x v="2"/>
    <x v="0"/>
    <n v="7.7"/>
    <n v="12.6"/>
    <x v="0"/>
    <n v="349"/>
  </r>
  <r>
    <x v="93"/>
    <x v="1"/>
    <x v="2"/>
    <x v="3"/>
    <n v="7.7"/>
    <n v="11.1"/>
    <x v="2"/>
    <n v="350"/>
  </r>
  <r>
    <x v="93"/>
    <x v="1"/>
    <x v="2"/>
    <x v="3"/>
    <n v="7.7"/>
    <n v="6.8"/>
    <x v="3"/>
    <n v="351"/>
  </r>
  <r>
    <x v="103"/>
    <x v="1"/>
    <x v="2"/>
    <x v="3"/>
    <n v="7.7"/>
    <n v="9.1"/>
    <x v="3"/>
    <n v="352"/>
  </r>
  <r>
    <x v="114"/>
    <x v="9"/>
    <x v="3"/>
    <x v="4"/>
    <n v="7.6"/>
    <n v="9.3000000000000007"/>
    <x v="0"/>
    <n v="353"/>
  </r>
  <r>
    <x v="104"/>
    <x v="6"/>
    <x v="3"/>
    <x v="0"/>
    <n v="7.6"/>
    <n v="7.4"/>
    <x v="2"/>
    <n v="354"/>
  </r>
  <r>
    <x v="104"/>
    <x v="6"/>
    <x v="3"/>
    <x v="0"/>
    <n v="7.6"/>
    <n v="6.3"/>
    <x v="1"/>
    <n v="355"/>
  </r>
  <r>
    <x v="115"/>
    <x v="7"/>
    <x v="3"/>
    <x v="3"/>
    <n v="7.6"/>
    <n v="8"/>
    <x v="0"/>
    <n v="356"/>
  </r>
  <r>
    <x v="109"/>
    <x v="5"/>
    <x v="0"/>
    <x v="4"/>
    <n v="7.6"/>
    <n v="5.4"/>
    <x v="1"/>
    <n v="357"/>
  </r>
  <r>
    <x v="96"/>
    <x v="0"/>
    <x v="0"/>
    <x v="5"/>
    <n v="7.6"/>
    <n v="5.5"/>
    <x v="3"/>
    <n v="358"/>
  </r>
  <r>
    <x v="99"/>
    <x v="6"/>
    <x v="1"/>
    <x v="4"/>
    <n v="7.6"/>
    <n v="6.4"/>
    <x v="2"/>
    <n v="359"/>
  </r>
  <r>
    <x v="116"/>
    <x v="9"/>
    <x v="1"/>
    <x v="5"/>
    <n v="7.6"/>
    <n v="8.4"/>
    <x v="0"/>
    <n v="360"/>
  </r>
  <r>
    <x v="117"/>
    <x v="9"/>
    <x v="1"/>
    <x v="3"/>
    <n v="7.6"/>
    <n v="7.9"/>
    <x v="0"/>
    <n v="361"/>
  </r>
  <r>
    <x v="117"/>
    <x v="9"/>
    <x v="1"/>
    <x v="3"/>
    <n v="7.6"/>
    <n v="4.5"/>
    <x v="1"/>
    <n v="362"/>
  </r>
  <r>
    <x v="118"/>
    <x v="1"/>
    <x v="1"/>
    <x v="2"/>
    <n v="7.6"/>
    <n v="8.4"/>
    <x v="0"/>
    <n v="363"/>
  </r>
  <r>
    <x v="119"/>
    <x v="1"/>
    <x v="2"/>
    <x v="4"/>
    <n v="7.6"/>
    <n v="13.7"/>
    <x v="0"/>
    <n v="364"/>
  </r>
  <r>
    <x v="120"/>
    <x v="5"/>
    <x v="2"/>
    <x v="4"/>
    <n v="7.6"/>
    <n v="12"/>
    <x v="0"/>
    <n v="365"/>
  </r>
  <r>
    <x v="107"/>
    <x v="1"/>
    <x v="2"/>
    <x v="5"/>
    <n v="7.6"/>
    <n v="12.9"/>
    <x v="2"/>
    <n v="366"/>
  </r>
  <r>
    <x v="107"/>
    <x v="1"/>
    <x v="2"/>
    <x v="5"/>
    <n v="7.6"/>
    <n v="8.5"/>
    <x v="3"/>
    <n v="367"/>
  </r>
  <r>
    <x v="113"/>
    <x v="1"/>
    <x v="2"/>
    <x v="0"/>
    <n v="7.6"/>
    <n v="10.3"/>
    <x v="2"/>
    <n v="368"/>
  </r>
  <r>
    <x v="103"/>
    <x v="1"/>
    <x v="2"/>
    <x v="3"/>
    <n v="7.6"/>
    <n v="12.1"/>
    <x v="2"/>
    <n v="369"/>
  </r>
  <r>
    <x v="94"/>
    <x v="1"/>
    <x v="2"/>
    <x v="2"/>
    <n v="7.6"/>
    <n v="9.6"/>
    <x v="3"/>
    <n v="370"/>
  </r>
  <r>
    <x v="121"/>
    <x v="5"/>
    <x v="3"/>
    <x v="4"/>
    <n v="7.5"/>
    <n v="8.1"/>
    <x v="0"/>
    <n v="371"/>
  </r>
  <r>
    <x v="108"/>
    <x v="1"/>
    <x v="3"/>
    <x v="4"/>
    <n v="7.5"/>
    <n v="5.8"/>
    <x v="2"/>
    <n v="372"/>
  </r>
  <r>
    <x v="122"/>
    <x v="1"/>
    <x v="3"/>
    <x v="5"/>
    <n v="7.5"/>
    <n v="10.7"/>
    <x v="0"/>
    <n v="373"/>
  </r>
  <r>
    <x v="116"/>
    <x v="9"/>
    <x v="1"/>
    <x v="5"/>
    <n v="7.5"/>
    <n v="7.6"/>
    <x v="2"/>
    <n v="374"/>
  </r>
  <r>
    <x v="118"/>
    <x v="1"/>
    <x v="1"/>
    <x v="2"/>
    <n v="7.5"/>
    <n v="4.8"/>
    <x v="1"/>
    <n v="375"/>
  </r>
  <r>
    <x v="110"/>
    <x v="5"/>
    <x v="2"/>
    <x v="4"/>
    <n v="7.5"/>
    <n v="7.1"/>
    <x v="2"/>
    <n v="376"/>
  </r>
  <r>
    <x v="110"/>
    <x v="5"/>
    <x v="2"/>
    <x v="4"/>
    <n v="7.5"/>
    <n v="6.3"/>
    <x v="1"/>
    <n v="377"/>
  </r>
  <r>
    <x v="111"/>
    <x v="1"/>
    <x v="2"/>
    <x v="4"/>
    <n v="7.5"/>
    <n v="13.2"/>
    <x v="2"/>
    <n v="378"/>
  </r>
  <r>
    <x v="123"/>
    <x v="0"/>
    <x v="2"/>
    <x v="5"/>
    <n v="7.5"/>
    <n v="11.1"/>
    <x v="0"/>
    <n v="379"/>
  </r>
  <r>
    <x v="113"/>
    <x v="1"/>
    <x v="2"/>
    <x v="0"/>
    <n v="7.5"/>
    <n v="7.2"/>
    <x v="3"/>
    <n v="380"/>
  </r>
  <r>
    <x v="124"/>
    <x v="1"/>
    <x v="3"/>
    <x v="4"/>
    <n v="7.4"/>
    <n v="9.6"/>
    <x v="0"/>
    <n v="381"/>
  </r>
  <r>
    <x v="121"/>
    <x v="5"/>
    <x v="3"/>
    <x v="4"/>
    <n v="7.4"/>
    <n v="5"/>
    <x v="1"/>
    <n v="382"/>
  </r>
  <r>
    <x v="114"/>
    <x v="9"/>
    <x v="3"/>
    <x v="4"/>
    <n v="7.4"/>
    <n v="7.7"/>
    <x v="2"/>
    <n v="383"/>
  </r>
  <r>
    <x v="115"/>
    <x v="7"/>
    <x v="3"/>
    <x v="3"/>
    <n v="7.4"/>
    <n v="6.3"/>
    <x v="2"/>
    <n v="384"/>
  </r>
  <r>
    <x v="125"/>
    <x v="1"/>
    <x v="1"/>
    <x v="3"/>
    <n v="7.4"/>
    <n v="5.2"/>
    <x v="1"/>
    <n v="385"/>
  </r>
  <r>
    <x v="117"/>
    <x v="9"/>
    <x v="1"/>
    <x v="3"/>
    <n v="7.4"/>
    <n v="6.7"/>
    <x v="2"/>
    <n v="386"/>
  </r>
  <r>
    <x v="119"/>
    <x v="1"/>
    <x v="2"/>
    <x v="4"/>
    <n v="7.4"/>
    <n v="10.4"/>
    <x v="2"/>
    <n v="387"/>
  </r>
  <r>
    <x v="119"/>
    <x v="1"/>
    <x v="2"/>
    <x v="4"/>
    <n v="7.4"/>
    <n v="7"/>
    <x v="3"/>
    <n v="388"/>
  </r>
  <r>
    <x v="111"/>
    <x v="1"/>
    <x v="2"/>
    <x v="4"/>
    <n v="7.4"/>
    <n v="9.4"/>
    <x v="3"/>
    <n v="389"/>
  </r>
  <r>
    <x v="108"/>
    <x v="1"/>
    <x v="3"/>
    <x v="4"/>
    <n v="7.3"/>
    <n v="3.6"/>
    <x v="3"/>
    <n v="390"/>
  </r>
  <r>
    <x v="126"/>
    <x v="1"/>
    <x v="3"/>
    <x v="5"/>
    <n v="7.3"/>
    <n v="5.3"/>
    <x v="1"/>
    <n v="391"/>
  </r>
  <r>
    <x v="116"/>
    <x v="9"/>
    <x v="1"/>
    <x v="5"/>
    <n v="7.3"/>
    <n v="4.5"/>
    <x v="3"/>
    <n v="392"/>
  </r>
  <r>
    <x v="125"/>
    <x v="1"/>
    <x v="1"/>
    <x v="3"/>
    <n v="7.3"/>
    <n v="8"/>
    <x v="0"/>
    <n v="393"/>
  </r>
  <r>
    <x v="118"/>
    <x v="1"/>
    <x v="1"/>
    <x v="2"/>
    <n v="7.3"/>
    <n v="7.3"/>
    <x v="2"/>
    <n v="394"/>
  </r>
  <r>
    <x v="112"/>
    <x v="5"/>
    <x v="2"/>
    <x v="0"/>
    <n v="7.3"/>
    <n v="8.5"/>
    <x v="2"/>
    <n v="395"/>
  </r>
  <r>
    <x v="127"/>
    <x v="10"/>
    <x v="3"/>
    <x v="4"/>
    <n v="7.2"/>
    <n v="5.4"/>
    <x v="0"/>
    <n v="396"/>
  </r>
  <r>
    <x v="121"/>
    <x v="5"/>
    <x v="3"/>
    <x v="4"/>
    <n v="7.2"/>
    <n v="6.7"/>
    <x v="2"/>
    <n v="397"/>
  </r>
  <r>
    <x v="114"/>
    <x v="9"/>
    <x v="3"/>
    <x v="4"/>
    <n v="7.2"/>
    <n v="4.2"/>
    <x v="3"/>
    <n v="398"/>
  </r>
  <r>
    <x v="126"/>
    <x v="1"/>
    <x v="3"/>
    <x v="5"/>
    <n v="7.2"/>
    <n v="7.5"/>
    <x v="0"/>
    <n v="399"/>
  </r>
  <r>
    <x v="126"/>
    <x v="1"/>
    <x v="3"/>
    <x v="5"/>
    <n v="7.2"/>
    <n v="5.8"/>
    <x v="2"/>
    <n v="400"/>
  </r>
  <r>
    <x v="128"/>
    <x v="1"/>
    <x v="1"/>
    <x v="3"/>
    <n v="7.2"/>
    <n v="6.4"/>
    <x v="0"/>
    <n v="401"/>
  </r>
  <r>
    <x v="125"/>
    <x v="1"/>
    <x v="1"/>
    <x v="3"/>
    <n v="7.2"/>
    <n v="6.3"/>
    <x v="2"/>
    <n v="402"/>
  </r>
  <r>
    <x v="129"/>
    <x v="1"/>
    <x v="1"/>
    <x v="2"/>
    <n v="7.2"/>
    <n v="7.6"/>
    <x v="0"/>
    <n v="403"/>
  </r>
  <r>
    <x v="129"/>
    <x v="1"/>
    <x v="1"/>
    <x v="2"/>
    <n v="7.2"/>
    <n v="4.7"/>
    <x v="1"/>
    <n v="404"/>
  </r>
  <r>
    <x v="120"/>
    <x v="5"/>
    <x v="2"/>
    <x v="4"/>
    <n v="7.2"/>
    <n v="9.1"/>
    <x v="2"/>
    <n v="405"/>
  </r>
  <r>
    <x v="120"/>
    <x v="5"/>
    <x v="2"/>
    <x v="4"/>
    <n v="7.2"/>
    <n v="6.1"/>
    <x v="3"/>
    <n v="406"/>
  </r>
  <r>
    <x v="123"/>
    <x v="0"/>
    <x v="2"/>
    <x v="5"/>
    <n v="7.2"/>
    <n v="9"/>
    <x v="2"/>
    <n v="407"/>
  </r>
  <r>
    <x v="123"/>
    <x v="0"/>
    <x v="2"/>
    <x v="5"/>
    <n v="7.2"/>
    <n v="6"/>
    <x v="3"/>
    <n v="408"/>
  </r>
  <r>
    <x v="112"/>
    <x v="5"/>
    <x v="2"/>
    <x v="0"/>
    <n v="7.2"/>
    <n v="5.6"/>
    <x v="3"/>
    <n v="409"/>
  </r>
  <r>
    <x v="130"/>
    <x v="1"/>
    <x v="3"/>
    <x v="4"/>
    <n v="7.1"/>
    <n v="6"/>
    <x v="0"/>
    <n v="410"/>
  </r>
  <r>
    <x v="124"/>
    <x v="1"/>
    <x v="3"/>
    <x v="4"/>
    <n v="7.1"/>
    <n v="8"/>
    <x v="2"/>
    <n v="411"/>
  </r>
  <r>
    <x v="122"/>
    <x v="1"/>
    <x v="3"/>
    <x v="5"/>
    <n v="7.1"/>
    <n v="8.4"/>
    <x v="2"/>
    <n v="412"/>
  </r>
  <r>
    <x v="131"/>
    <x v="1"/>
    <x v="1"/>
    <x v="0"/>
    <n v="7.1"/>
    <n v="5.0999999999999996"/>
    <x v="0"/>
    <n v="413"/>
  </r>
  <r>
    <x v="129"/>
    <x v="1"/>
    <x v="1"/>
    <x v="2"/>
    <n v="7.1"/>
    <n v="5.2"/>
    <x v="2"/>
    <n v="414"/>
  </r>
  <r>
    <x v="132"/>
    <x v="1"/>
    <x v="2"/>
    <x v="4"/>
    <n v="7.1"/>
    <n v="6.5"/>
    <x v="0"/>
    <n v="415"/>
  </r>
  <r>
    <x v="132"/>
    <x v="1"/>
    <x v="2"/>
    <x v="4"/>
    <n v="7.1"/>
    <n v="4.8"/>
    <x v="2"/>
    <n v="416"/>
  </r>
  <r>
    <x v="124"/>
    <x v="1"/>
    <x v="3"/>
    <x v="4"/>
    <n v="7"/>
    <n v="5.8"/>
    <x v="3"/>
    <n v="417"/>
  </r>
  <r>
    <x v="127"/>
    <x v="10"/>
    <x v="3"/>
    <x v="4"/>
    <n v="7"/>
    <n v="4"/>
    <x v="2"/>
    <n v="418"/>
  </r>
  <r>
    <x v="121"/>
    <x v="5"/>
    <x v="3"/>
    <x v="4"/>
    <n v="7"/>
    <n v="4.5999999999999996"/>
    <x v="3"/>
    <n v="419"/>
  </r>
  <r>
    <x v="133"/>
    <x v="9"/>
    <x v="3"/>
    <x v="5"/>
    <n v="7"/>
    <n v="5"/>
    <x v="0"/>
    <n v="420"/>
  </r>
  <r>
    <x v="133"/>
    <x v="9"/>
    <x v="3"/>
    <x v="5"/>
    <n v="7"/>
    <n v="3.7"/>
    <x v="1"/>
    <n v="421"/>
  </r>
  <r>
    <x v="122"/>
    <x v="1"/>
    <x v="3"/>
    <x v="5"/>
    <n v="7"/>
    <n v="4.8"/>
    <x v="3"/>
    <n v="422"/>
  </r>
  <r>
    <x v="128"/>
    <x v="1"/>
    <x v="1"/>
    <x v="3"/>
    <n v="7"/>
    <n v="3.3"/>
    <x v="1"/>
    <n v="423"/>
  </r>
  <r>
    <x v="134"/>
    <x v="7"/>
    <x v="3"/>
    <x v="4"/>
    <n v="6.9"/>
    <n v="6.6"/>
    <x v="0"/>
    <n v="424"/>
  </r>
  <r>
    <x v="134"/>
    <x v="7"/>
    <x v="3"/>
    <x v="4"/>
    <n v="6.9"/>
    <n v="3.3"/>
    <x v="1"/>
    <n v="425"/>
  </r>
  <r>
    <x v="135"/>
    <x v="7"/>
    <x v="3"/>
    <x v="5"/>
    <n v="6.9"/>
    <n v="6.7"/>
    <x v="0"/>
    <n v="426"/>
  </r>
  <r>
    <x v="136"/>
    <x v="7"/>
    <x v="3"/>
    <x v="5"/>
    <n v="6.9"/>
    <n v="5.3"/>
    <x v="0"/>
    <n v="427"/>
  </r>
  <r>
    <x v="130"/>
    <x v="1"/>
    <x v="3"/>
    <x v="4"/>
    <n v="6.8"/>
    <n v="4.7"/>
    <x v="2"/>
    <n v="428"/>
  </r>
  <r>
    <x v="135"/>
    <x v="7"/>
    <x v="3"/>
    <x v="5"/>
    <n v="6.8"/>
    <n v="5.2"/>
    <x v="2"/>
    <n v="429"/>
  </r>
  <r>
    <x v="137"/>
    <x v="0"/>
    <x v="3"/>
    <x v="5"/>
    <n v="6.8"/>
    <n v="7"/>
    <x v="0"/>
    <n v="430"/>
  </r>
  <r>
    <x v="138"/>
    <x v="0"/>
    <x v="3"/>
    <x v="0"/>
    <n v="6.8"/>
    <n v="5.7"/>
    <x v="0"/>
    <n v="431"/>
  </r>
  <r>
    <x v="138"/>
    <x v="0"/>
    <x v="3"/>
    <x v="0"/>
    <n v="6.8"/>
    <n v="4.0999999999999996"/>
    <x v="2"/>
    <n v="432"/>
  </r>
  <r>
    <x v="131"/>
    <x v="1"/>
    <x v="1"/>
    <x v="0"/>
    <n v="6.8"/>
    <n v="5"/>
    <x v="2"/>
    <n v="433"/>
  </r>
  <r>
    <x v="134"/>
    <x v="7"/>
    <x v="3"/>
    <x v="4"/>
    <n v="6.7"/>
    <n v="4.3"/>
    <x v="2"/>
    <n v="434"/>
  </r>
  <r>
    <x v="136"/>
    <x v="7"/>
    <x v="3"/>
    <x v="5"/>
    <n v="6.7"/>
    <n v="3.7"/>
    <x v="2"/>
    <n v="435"/>
  </r>
  <r>
    <x v="139"/>
    <x v="7"/>
    <x v="3"/>
    <x v="4"/>
    <n v="6.6"/>
    <n v="4.5999999999999996"/>
    <x v="0"/>
    <n v="436"/>
  </r>
  <r>
    <x v="139"/>
    <x v="7"/>
    <x v="3"/>
    <x v="4"/>
    <n v="6.6"/>
    <n v="3.1"/>
    <x v="2"/>
    <n v="437"/>
  </r>
  <r>
    <x v="137"/>
    <x v="0"/>
    <x v="3"/>
    <x v="5"/>
    <n v="6.6"/>
    <n v="5"/>
    <x v="2"/>
    <n v="438"/>
  </r>
  <r>
    <x v="140"/>
    <x v="10"/>
    <x v="0"/>
    <x v="4"/>
    <n v="5.8"/>
    <n v="8.3000000000000007"/>
    <x v="0"/>
    <n v="441"/>
  </r>
  <r>
    <x v="140"/>
    <x v="10"/>
    <x v="0"/>
    <x v="4"/>
    <n v="5.5"/>
    <n v="5.8"/>
    <x v="2"/>
    <n v="442"/>
  </r>
  <r>
    <x v="140"/>
    <x v="10"/>
    <x v="0"/>
    <x v="4"/>
    <n v="5.4"/>
    <n v="4.5"/>
    <x v="3"/>
    <n v="44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1">
  <r>
    <x v="0"/>
    <s v="Fantasy"/>
    <x v="0"/>
    <x v="0"/>
    <n v="9.5"/>
    <n v="22.3"/>
    <x v="0"/>
    <n v="1"/>
  </r>
  <r>
    <x v="1"/>
    <s v="Action"/>
    <x v="0"/>
    <x v="0"/>
    <n v="9.5"/>
    <n v="26.4"/>
    <x v="0"/>
    <n v="2"/>
  </r>
  <r>
    <x v="1"/>
    <s v="Action"/>
    <x v="0"/>
    <x v="0"/>
    <n v="9.5"/>
    <n v="16.100000000000001"/>
    <x v="1"/>
    <n v="3"/>
  </r>
  <r>
    <x v="2"/>
    <s v="Action"/>
    <x v="0"/>
    <x v="1"/>
    <n v="9.5"/>
    <n v="21.4"/>
    <x v="1"/>
    <n v="4"/>
  </r>
  <r>
    <x v="2"/>
    <s v="Action"/>
    <x v="0"/>
    <x v="1"/>
    <n v="9.4"/>
    <n v="35.700000000000003"/>
    <x v="0"/>
    <n v="5"/>
  </r>
  <r>
    <x v="2"/>
    <s v="Action"/>
    <x v="0"/>
    <x v="1"/>
    <n v="9.4"/>
    <n v="27.2"/>
    <x v="2"/>
    <n v="6"/>
  </r>
  <r>
    <x v="3"/>
    <s v="Historical"/>
    <x v="1"/>
    <x v="1"/>
    <n v="9.4"/>
    <n v="15.9"/>
    <x v="0"/>
    <n v="7"/>
  </r>
  <r>
    <x v="0"/>
    <s v="Fantasy"/>
    <x v="0"/>
    <x v="0"/>
    <n v="9.3000000000000007"/>
    <n v="13.8"/>
    <x v="1"/>
    <n v="8"/>
  </r>
  <r>
    <x v="1"/>
    <s v="Action"/>
    <x v="0"/>
    <x v="0"/>
    <n v="9.3000000000000007"/>
    <n v="20.5"/>
    <x v="2"/>
    <n v="9"/>
  </r>
  <r>
    <x v="4"/>
    <s v="Action"/>
    <x v="0"/>
    <x v="2"/>
    <n v="9.3000000000000007"/>
    <n v="30.4"/>
    <x v="0"/>
    <n v="10"/>
  </r>
  <r>
    <x v="3"/>
    <s v="Historical"/>
    <x v="1"/>
    <x v="1"/>
    <n v="9.3000000000000007"/>
    <n v="10"/>
    <x v="1"/>
    <n v="11"/>
  </r>
  <r>
    <x v="5"/>
    <s v="Action"/>
    <x v="2"/>
    <x v="1"/>
    <n v="9.3000000000000007"/>
    <n v="25.1"/>
    <x v="0"/>
    <n v="12"/>
  </r>
  <r>
    <x v="6"/>
    <s v="Fantasy"/>
    <x v="3"/>
    <x v="1"/>
    <n v="9.1999999999999993"/>
    <n v="24.1"/>
    <x v="0"/>
    <n v="13"/>
  </r>
  <r>
    <x v="0"/>
    <s v="Fantasy"/>
    <x v="0"/>
    <x v="0"/>
    <n v="9.1999999999999993"/>
    <n v="17.899999999999999"/>
    <x v="2"/>
    <n v="14"/>
  </r>
  <r>
    <x v="7"/>
    <s v="Mystery"/>
    <x v="0"/>
    <x v="2"/>
    <n v="9.1999999999999993"/>
    <n v="17.399999999999999"/>
    <x v="0"/>
    <n v="15"/>
  </r>
  <r>
    <x v="8"/>
    <s v="Sports"/>
    <x v="2"/>
    <x v="3"/>
    <n v="9.1999999999999993"/>
    <n v="11.6"/>
    <x v="1"/>
    <n v="16"/>
  </r>
  <r>
    <x v="9"/>
    <s v="Action"/>
    <x v="2"/>
    <x v="2"/>
    <n v="9.1999999999999993"/>
    <n v="23.6"/>
    <x v="0"/>
    <n v="17"/>
  </r>
  <r>
    <x v="0"/>
    <s v="Fantasy"/>
    <x v="0"/>
    <x v="0"/>
    <n v="9.1"/>
    <n v="12.3"/>
    <x v="3"/>
    <n v="18"/>
  </r>
  <r>
    <x v="1"/>
    <s v="Action"/>
    <x v="0"/>
    <x v="0"/>
    <n v="9.1"/>
    <n v="13.3"/>
    <x v="3"/>
    <n v="19"/>
  </r>
  <r>
    <x v="10"/>
    <s v="Mystery"/>
    <x v="0"/>
    <x v="3"/>
    <n v="9.1"/>
    <n v="15.1"/>
    <x v="0"/>
    <n v="20"/>
  </r>
  <r>
    <x v="11"/>
    <s v="Action"/>
    <x v="0"/>
    <x v="2"/>
    <n v="9.1"/>
    <n v="28.3"/>
    <x v="0"/>
    <n v="21"/>
  </r>
  <r>
    <x v="11"/>
    <s v="Action"/>
    <x v="0"/>
    <x v="2"/>
    <n v="9.1"/>
    <n v="18.2"/>
    <x v="1"/>
    <n v="22"/>
  </r>
  <r>
    <x v="12"/>
    <s v="Historical"/>
    <x v="0"/>
    <x v="2"/>
    <n v="9.1"/>
    <n v="14.7"/>
    <x v="0"/>
    <n v="23"/>
  </r>
  <r>
    <x v="12"/>
    <s v="Historical"/>
    <x v="0"/>
    <x v="2"/>
    <n v="9.1"/>
    <n v="11.6"/>
    <x v="2"/>
    <n v="24"/>
  </r>
  <r>
    <x v="12"/>
    <s v="Historical"/>
    <x v="0"/>
    <x v="2"/>
    <n v="9.1"/>
    <n v="9.5"/>
    <x v="1"/>
    <n v="25"/>
  </r>
  <r>
    <x v="2"/>
    <s v="Action"/>
    <x v="0"/>
    <x v="1"/>
    <n v="9.1"/>
    <n v="18.7"/>
    <x v="3"/>
    <n v="26"/>
  </r>
  <r>
    <x v="13"/>
    <s v="Action"/>
    <x v="0"/>
    <x v="1"/>
    <n v="9.1"/>
    <n v="30.4"/>
    <x v="0"/>
    <n v="27"/>
  </r>
  <r>
    <x v="13"/>
    <s v="Action"/>
    <x v="0"/>
    <x v="1"/>
    <n v="9.1"/>
    <n v="18.899999999999999"/>
    <x v="1"/>
    <n v="28"/>
  </r>
  <r>
    <x v="14"/>
    <s v="Historical"/>
    <x v="1"/>
    <x v="2"/>
    <n v="9.1"/>
    <n v="14"/>
    <x v="0"/>
    <n v="29"/>
  </r>
  <r>
    <x v="14"/>
    <s v="Historical"/>
    <x v="1"/>
    <x v="2"/>
    <n v="9.1"/>
    <n v="9.5"/>
    <x v="1"/>
    <n v="30"/>
  </r>
  <r>
    <x v="15"/>
    <s v="Sports"/>
    <x v="2"/>
    <x v="4"/>
    <n v="9.1"/>
    <n v="17.3"/>
    <x v="0"/>
    <n v="31"/>
  </r>
  <r>
    <x v="8"/>
    <s v="Sports"/>
    <x v="2"/>
    <x v="3"/>
    <n v="9.1"/>
    <n v="18.5"/>
    <x v="0"/>
    <n v="32"/>
  </r>
  <r>
    <x v="16"/>
    <s v="Adventure"/>
    <x v="2"/>
    <x v="2"/>
    <n v="9.1"/>
    <n v="22.2"/>
    <x v="0"/>
    <n v="33"/>
  </r>
  <r>
    <x v="9"/>
    <s v="Action"/>
    <x v="2"/>
    <x v="2"/>
    <n v="9.1"/>
    <n v="14.8"/>
    <x v="1"/>
    <n v="34"/>
  </r>
  <r>
    <x v="5"/>
    <s v="Action"/>
    <x v="2"/>
    <x v="1"/>
    <n v="9.1"/>
    <n v="15.6"/>
    <x v="1"/>
    <n v="35"/>
  </r>
  <r>
    <x v="17"/>
    <s v="Fantasy"/>
    <x v="3"/>
    <x v="2"/>
    <n v="9"/>
    <n v="22.8"/>
    <x v="0"/>
    <n v="36"/>
  </r>
  <r>
    <x v="18"/>
    <s v="Action"/>
    <x v="0"/>
    <x v="5"/>
    <n v="9"/>
    <n v="12.9"/>
    <x v="1"/>
    <n v="37"/>
  </r>
  <r>
    <x v="4"/>
    <s v="Action"/>
    <x v="0"/>
    <x v="2"/>
    <n v="9"/>
    <n v="15.6"/>
    <x v="3"/>
    <n v="38"/>
  </r>
  <r>
    <x v="4"/>
    <s v="Action"/>
    <x v="0"/>
    <x v="2"/>
    <n v="9"/>
    <n v="18.399999999999999"/>
    <x v="1"/>
    <n v="39"/>
  </r>
  <r>
    <x v="11"/>
    <s v="Action"/>
    <x v="0"/>
    <x v="2"/>
    <n v="9"/>
    <n v="21.9"/>
    <x v="2"/>
    <n v="40"/>
  </r>
  <r>
    <x v="7"/>
    <s v="Mystery"/>
    <x v="0"/>
    <x v="2"/>
    <n v="9"/>
    <n v="11"/>
    <x v="1"/>
    <n v="41"/>
  </r>
  <r>
    <x v="19"/>
    <s v="Action"/>
    <x v="0"/>
    <x v="1"/>
    <n v="9"/>
    <n v="26.8"/>
    <x v="0"/>
    <n v="42"/>
  </r>
  <r>
    <x v="20"/>
    <s v="Historical"/>
    <x v="1"/>
    <x v="0"/>
    <n v="9"/>
    <n v="8.1"/>
    <x v="1"/>
    <n v="43"/>
  </r>
  <r>
    <x v="3"/>
    <s v="Historical"/>
    <x v="1"/>
    <x v="1"/>
    <n v="9"/>
    <n v="12.8"/>
    <x v="2"/>
    <n v="44"/>
  </r>
  <r>
    <x v="21"/>
    <s v="Action"/>
    <x v="2"/>
    <x v="5"/>
    <n v="9"/>
    <n v="21.7"/>
    <x v="0"/>
    <n v="45"/>
  </r>
  <r>
    <x v="8"/>
    <s v="Sports"/>
    <x v="2"/>
    <x v="3"/>
    <n v="9"/>
    <n v="14.5"/>
    <x v="2"/>
    <n v="46"/>
  </r>
  <r>
    <x v="8"/>
    <s v="Sports"/>
    <x v="2"/>
    <x v="3"/>
    <n v="9"/>
    <n v="10.4"/>
    <x v="3"/>
    <n v="47"/>
  </r>
  <r>
    <x v="9"/>
    <s v="Action"/>
    <x v="2"/>
    <x v="2"/>
    <n v="9"/>
    <n v="19.2"/>
    <x v="2"/>
    <n v="48"/>
  </r>
  <r>
    <x v="9"/>
    <s v="Action"/>
    <x v="2"/>
    <x v="2"/>
    <n v="9"/>
    <n v="12.1"/>
    <x v="3"/>
    <n v="49"/>
  </r>
  <r>
    <x v="22"/>
    <s v="Adventure"/>
    <x v="2"/>
    <x v="1"/>
    <n v="9"/>
    <n v="23.1"/>
    <x v="0"/>
    <n v="50"/>
  </r>
  <r>
    <x v="5"/>
    <s v="Action"/>
    <x v="2"/>
    <x v="1"/>
    <n v="9"/>
    <n v="19.899999999999999"/>
    <x v="2"/>
    <n v="51"/>
  </r>
  <r>
    <x v="6"/>
    <s v="Fantasy"/>
    <x v="3"/>
    <x v="1"/>
    <n v="8.9"/>
    <n v="14.8"/>
    <x v="1"/>
    <n v="52"/>
  </r>
  <r>
    <x v="18"/>
    <s v="Action"/>
    <x v="0"/>
    <x v="5"/>
    <n v="8.9"/>
    <n v="21.5"/>
    <x v="0"/>
    <n v="53"/>
  </r>
  <r>
    <x v="23"/>
    <s v="Action"/>
    <x v="0"/>
    <x v="0"/>
    <n v="8.9"/>
    <n v="16.899999999999999"/>
    <x v="1"/>
    <n v="54"/>
  </r>
  <r>
    <x v="24"/>
    <s v="Historical"/>
    <x v="0"/>
    <x v="0"/>
    <n v="8.9"/>
    <n v="13"/>
    <x v="0"/>
    <n v="55"/>
  </r>
  <r>
    <x v="4"/>
    <s v="Action"/>
    <x v="0"/>
    <x v="2"/>
    <n v="8.9"/>
    <n v="24"/>
    <x v="2"/>
    <n v="56"/>
  </r>
  <r>
    <x v="7"/>
    <s v="Mystery"/>
    <x v="0"/>
    <x v="2"/>
    <n v="8.9"/>
    <n v="13.7"/>
    <x v="2"/>
    <n v="57"/>
  </r>
  <r>
    <x v="13"/>
    <s v="Action"/>
    <x v="0"/>
    <x v="1"/>
    <n v="8.9"/>
    <n v="24.1"/>
    <x v="2"/>
    <n v="58"/>
  </r>
  <r>
    <x v="20"/>
    <s v="Historical"/>
    <x v="1"/>
    <x v="0"/>
    <n v="8.9"/>
    <n v="12.9"/>
    <x v="0"/>
    <n v="59"/>
  </r>
  <r>
    <x v="20"/>
    <s v="Historical"/>
    <x v="1"/>
    <x v="0"/>
    <n v="8.9"/>
    <n v="9.4"/>
    <x v="2"/>
    <n v="60"/>
  </r>
  <r>
    <x v="25"/>
    <s v="Drama"/>
    <x v="1"/>
    <x v="0"/>
    <n v="8.9"/>
    <n v="14.7"/>
    <x v="0"/>
    <n v="61"/>
  </r>
  <r>
    <x v="14"/>
    <s v="Historical"/>
    <x v="1"/>
    <x v="2"/>
    <n v="8.9"/>
    <n v="11.3"/>
    <x v="2"/>
    <n v="62"/>
  </r>
  <r>
    <x v="15"/>
    <s v="Sports"/>
    <x v="2"/>
    <x v="4"/>
    <n v="8.9"/>
    <n v="10.8"/>
    <x v="1"/>
    <n v="63"/>
  </r>
  <r>
    <x v="21"/>
    <s v="Action"/>
    <x v="2"/>
    <x v="5"/>
    <n v="8.9"/>
    <n v="12.9"/>
    <x v="1"/>
    <n v="64"/>
  </r>
  <r>
    <x v="26"/>
    <s v="Adventure"/>
    <x v="2"/>
    <x v="3"/>
    <n v="8.9"/>
    <n v="20.2"/>
    <x v="0"/>
    <n v="65"/>
  </r>
  <r>
    <x v="16"/>
    <s v="Adventure"/>
    <x v="2"/>
    <x v="2"/>
    <n v="8.9"/>
    <n v="16.8"/>
    <x v="2"/>
    <n v="66"/>
  </r>
  <r>
    <x v="22"/>
    <s v="Adventure"/>
    <x v="2"/>
    <x v="1"/>
    <n v="8.9"/>
    <n v="18.2"/>
    <x v="2"/>
    <n v="67"/>
  </r>
  <r>
    <x v="22"/>
    <s v="Adventure"/>
    <x v="2"/>
    <x v="1"/>
    <n v="8.9"/>
    <n v="14.7"/>
    <x v="1"/>
    <n v="68"/>
  </r>
  <r>
    <x v="5"/>
    <s v="Action"/>
    <x v="2"/>
    <x v="1"/>
    <n v="8.9"/>
    <n v="13.2"/>
    <x v="3"/>
    <n v="69"/>
  </r>
  <r>
    <x v="27"/>
    <s v="Action"/>
    <x v="3"/>
    <x v="0"/>
    <n v="8.8000000000000007"/>
    <n v="15.3"/>
    <x v="0"/>
    <n v="70"/>
  </r>
  <r>
    <x v="17"/>
    <s v="Fantasy"/>
    <x v="3"/>
    <x v="2"/>
    <n v="8.8000000000000007"/>
    <n v="18"/>
    <x v="2"/>
    <n v="71"/>
  </r>
  <r>
    <x v="17"/>
    <s v="Fantasy"/>
    <x v="3"/>
    <x v="2"/>
    <n v="8.8000000000000007"/>
    <n v="11.5"/>
    <x v="3"/>
    <n v="72"/>
  </r>
  <r>
    <x v="17"/>
    <s v="Fantasy"/>
    <x v="3"/>
    <x v="2"/>
    <n v="8.8000000000000007"/>
    <n v="13.6"/>
    <x v="1"/>
    <n v="73"/>
  </r>
  <r>
    <x v="28"/>
    <s v="Sci-Fi"/>
    <x v="3"/>
    <x v="2"/>
    <n v="8.8000000000000007"/>
    <n v="17.5"/>
    <x v="0"/>
    <n v="74"/>
  </r>
  <r>
    <x v="6"/>
    <s v="Fantasy"/>
    <x v="3"/>
    <x v="1"/>
    <n v="8.8000000000000007"/>
    <n v="18.3"/>
    <x v="2"/>
    <n v="75"/>
  </r>
  <r>
    <x v="29"/>
    <s v="Drama"/>
    <x v="3"/>
    <x v="1"/>
    <n v="8.8000000000000007"/>
    <n v="15.4"/>
    <x v="0"/>
    <n v="76"/>
  </r>
  <r>
    <x v="18"/>
    <s v="Action"/>
    <x v="0"/>
    <x v="5"/>
    <n v="8.8000000000000007"/>
    <n v="16.7"/>
    <x v="2"/>
    <n v="77"/>
  </r>
  <r>
    <x v="30"/>
    <s v="Romance"/>
    <x v="0"/>
    <x v="5"/>
    <n v="8.8000000000000007"/>
    <n v="13.8"/>
    <x v="0"/>
    <n v="78"/>
  </r>
  <r>
    <x v="31"/>
    <s v="Comedy"/>
    <x v="0"/>
    <x v="5"/>
    <n v="8.8000000000000007"/>
    <n v="12.7"/>
    <x v="0"/>
    <n v="79"/>
  </r>
  <r>
    <x v="23"/>
    <s v="Action"/>
    <x v="0"/>
    <x v="0"/>
    <n v="8.8000000000000007"/>
    <n v="28.1"/>
    <x v="0"/>
    <n v="80"/>
  </r>
  <r>
    <x v="24"/>
    <s v="Historical"/>
    <x v="0"/>
    <x v="0"/>
    <n v="8.8000000000000007"/>
    <n v="7.5"/>
    <x v="1"/>
    <n v="81"/>
  </r>
  <r>
    <x v="32"/>
    <s v="Mystery"/>
    <x v="0"/>
    <x v="0"/>
    <n v="8.8000000000000007"/>
    <n v="13.9"/>
    <x v="0"/>
    <n v="82"/>
  </r>
  <r>
    <x v="33"/>
    <s v="Drama"/>
    <x v="0"/>
    <x v="0"/>
    <n v="8.8000000000000007"/>
    <n v="17"/>
    <x v="0"/>
    <n v="83"/>
  </r>
  <r>
    <x v="33"/>
    <s v="Drama"/>
    <x v="0"/>
    <x v="0"/>
    <n v="8.8000000000000007"/>
    <n v="11"/>
    <x v="1"/>
    <n v="84"/>
  </r>
  <r>
    <x v="34"/>
    <s v="Action"/>
    <x v="0"/>
    <x v="3"/>
    <n v="8.8000000000000007"/>
    <n v="25.6"/>
    <x v="0"/>
    <n v="85"/>
  </r>
  <r>
    <x v="34"/>
    <s v="Action"/>
    <x v="0"/>
    <x v="3"/>
    <n v="8.8000000000000007"/>
    <n v="16.3"/>
    <x v="1"/>
    <n v="86"/>
  </r>
  <r>
    <x v="35"/>
    <s v="Adventure"/>
    <x v="0"/>
    <x v="3"/>
    <n v="8.8000000000000007"/>
    <n v="17"/>
    <x v="0"/>
    <n v="87"/>
  </r>
  <r>
    <x v="35"/>
    <s v="Adventure"/>
    <x v="0"/>
    <x v="3"/>
    <n v="8.8000000000000007"/>
    <n v="10.4"/>
    <x v="1"/>
    <n v="88"/>
  </r>
  <r>
    <x v="10"/>
    <s v="Mystery"/>
    <x v="0"/>
    <x v="3"/>
    <n v="8.8000000000000007"/>
    <n v="9.8000000000000007"/>
    <x v="1"/>
    <n v="89"/>
  </r>
  <r>
    <x v="10"/>
    <s v="Mystery"/>
    <x v="0"/>
    <x v="3"/>
    <n v="8.8000000000000007"/>
    <n v="12.7"/>
    <x v="2"/>
    <n v="90"/>
  </r>
  <r>
    <x v="13"/>
    <s v="Action"/>
    <x v="0"/>
    <x v="1"/>
    <n v="8.8000000000000007"/>
    <n v="16.100000000000001"/>
    <x v="3"/>
    <n v="91"/>
  </r>
  <r>
    <x v="36"/>
    <s v="Historical"/>
    <x v="1"/>
    <x v="4"/>
    <n v="8.8000000000000007"/>
    <n v="7.4"/>
    <x v="1"/>
    <n v="92"/>
  </r>
  <r>
    <x v="15"/>
    <s v="Sports"/>
    <x v="2"/>
    <x v="4"/>
    <n v="8.8000000000000007"/>
    <n v="9.6"/>
    <x v="3"/>
    <n v="93"/>
  </r>
  <r>
    <x v="21"/>
    <s v="Action"/>
    <x v="2"/>
    <x v="5"/>
    <n v="8.8000000000000007"/>
    <n v="17.2"/>
    <x v="2"/>
    <n v="94"/>
  </r>
  <r>
    <x v="16"/>
    <s v="Adventure"/>
    <x v="2"/>
    <x v="2"/>
    <n v="8.8000000000000007"/>
    <n v="14"/>
    <x v="1"/>
    <n v="95"/>
  </r>
  <r>
    <x v="37"/>
    <s v="Adventure"/>
    <x v="3"/>
    <x v="4"/>
    <n v="8.6999999999999993"/>
    <n v="6.5"/>
    <x v="1"/>
    <n v="96"/>
  </r>
  <r>
    <x v="38"/>
    <s v="Drama"/>
    <x v="3"/>
    <x v="3"/>
    <n v="8.6999999999999993"/>
    <n v="13.6"/>
    <x v="0"/>
    <n v="97"/>
  </r>
  <r>
    <x v="38"/>
    <s v="Drama"/>
    <x v="3"/>
    <x v="3"/>
    <n v="8.6999999999999993"/>
    <n v="8.4"/>
    <x v="1"/>
    <n v="98"/>
  </r>
  <r>
    <x v="6"/>
    <s v="Fantasy"/>
    <x v="3"/>
    <x v="1"/>
    <n v="8.6999999999999993"/>
    <n v="12.6"/>
    <x v="3"/>
    <n v="99"/>
  </r>
  <r>
    <x v="29"/>
    <s v="Drama"/>
    <x v="3"/>
    <x v="1"/>
    <n v="8.6999999999999993"/>
    <n v="12.3"/>
    <x v="2"/>
    <n v="100"/>
  </r>
  <r>
    <x v="39"/>
    <s v="Mystery"/>
    <x v="0"/>
    <x v="4"/>
    <n v="8.6999999999999993"/>
    <n v="8.4"/>
    <x v="0"/>
    <n v="101"/>
  </r>
  <r>
    <x v="18"/>
    <s v="Action"/>
    <x v="0"/>
    <x v="5"/>
    <n v="8.6999999999999993"/>
    <n v="11.1"/>
    <x v="3"/>
    <n v="102"/>
  </r>
  <r>
    <x v="40"/>
    <s v="Adventure"/>
    <x v="0"/>
    <x v="5"/>
    <n v="8.6999999999999993"/>
    <n v="10.5"/>
    <x v="0"/>
    <n v="103"/>
  </r>
  <r>
    <x v="31"/>
    <s v="Comedy"/>
    <x v="0"/>
    <x v="5"/>
    <n v="8.6999999999999993"/>
    <n v="7.6"/>
    <x v="1"/>
    <n v="104"/>
  </r>
  <r>
    <x v="23"/>
    <s v="Action"/>
    <x v="0"/>
    <x v="0"/>
    <n v="8.6999999999999993"/>
    <n v="21.2"/>
    <x v="2"/>
    <n v="105"/>
  </r>
  <r>
    <x v="23"/>
    <s v="Action"/>
    <x v="0"/>
    <x v="0"/>
    <n v="8.6999999999999993"/>
    <n v="14"/>
    <x v="3"/>
    <n v="106"/>
  </r>
  <r>
    <x v="24"/>
    <s v="Historical"/>
    <x v="0"/>
    <x v="0"/>
    <n v="8.6999999999999993"/>
    <n v="9.3000000000000007"/>
    <x v="2"/>
    <n v="107"/>
  </r>
  <r>
    <x v="32"/>
    <s v="Mystery"/>
    <x v="0"/>
    <x v="0"/>
    <n v="8.6999999999999993"/>
    <n v="9.4"/>
    <x v="1"/>
    <n v="108"/>
  </r>
  <r>
    <x v="34"/>
    <s v="Action"/>
    <x v="0"/>
    <x v="3"/>
    <n v="8.6999999999999993"/>
    <n v="19.399999999999999"/>
    <x v="2"/>
    <n v="109"/>
  </r>
  <r>
    <x v="34"/>
    <s v="Action"/>
    <x v="0"/>
    <x v="3"/>
    <n v="8.6999999999999993"/>
    <n v="12.9"/>
    <x v="3"/>
    <n v="110"/>
  </r>
  <r>
    <x v="41"/>
    <s v="Historical"/>
    <x v="0"/>
    <x v="3"/>
    <n v="8.6999999999999993"/>
    <n v="6.3"/>
    <x v="1"/>
    <n v="111"/>
  </r>
  <r>
    <x v="11"/>
    <s v="Action"/>
    <x v="0"/>
    <x v="2"/>
    <n v="8.6999999999999993"/>
    <n v="14.5"/>
    <x v="3"/>
    <n v="112"/>
  </r>
  <r>
    <x v="42"/>
    <s v="Fantasy"/>
    <x v="0"/>
    <x v="2"/>
    <n v="8.6999999999999993"/>
    <n v="15.9"/>
    <x v="0"/>
    <n v="113"/>
  </r>
  <r>
    <x v="42"/>
    <s v="Fantasy"/>
    <x v="0"/>
    <x v="2"/>
    <n v="8.6999999999999993"/>
    <n v="10.199999999999999"/>
    <x v="1"/>
    <n v="114"/>
  </r>
  <r>
    <x v="19"/>
    <s v="Action"/>
    <x v="0"/>
    <x v="1"/>
    <n v="8.6999999999999993"/>
    <n v="20.3"/>
    <x v="2"/>
    <n v="115"/>
  </r>
  <r>
    <x v="36"/>
    <s v="Historical"/>
    <x v="1"/>
    <x v="4"/>
    <n v="8.6999999999999993"/>
    <n v="10.9"/>
    <x v="0"/>
    <n v="116"/>
  </r>
  <r>
    <x v="36"/>
    <s v="Historical"/>
    <x v="1"/>
    <x v="4"/>
    <n v="8.6999999999999993"/>
    <n v="9.3000000000000007"/>
    <x v="2"/>
    <n v="117"/>
  </r>
  <r>
    <x v="25"/>
    <s v="Drama"/>
    <x v="1"/>
    <x v="0"/>
    <n v="8.6999999999999993"/>
    <n v="8.5"/>
    <x v="1"/>
    <n v="118"/>
  </r>
  <r>
    <x v="15"/>
    <s v="Sports"/>
    <x v="2"/>
    <x v="4"/>
    <n v="8.6999999999999993"/>
    <n v="14"/>
    <x v="2"/>
    <n v="119"/>
  </r>
  <r>
    <x v="21"/>
    <s v="Action"/>
    <x v="2"/>
    <x v="5"/>
    <n v="8.6999999999999993"/>
    <n v="11.6"/>
    <x v="3"/>
    <n v="120"/>
  </r>
  <r>
    <x v="16"/>
    <s v="Adventure"/>
    <x v="2"/>
    <x v="2"/>
    <n v="8.6999999999999993"/>
    <n v="11"/>
    <x v="3"/>
    <n v="121"/>
  </r>
  <r>
    <x v="22"/>
    <s v="Adventure"/>
    <x v="2"/>
    <x v="1"/>
    <n v="8.6999999999999993"/>
    <n v="11.3"/>
    <x v="3"/>
    <n v="122"/>
  </r>
  <r>
    <x v="37"/>
    <s v="Adventure"/>
    <x v="3"/>
    <x v="4"/>
    <n v="8.6"/>
    <n v="10"/>
    <x v="0"/>
    <n v="123"/>
  </r>
  <r>
    <x v="43"/>
    <s v="Sci-Fi"/>
    <x v="3"/>
    <x v="5"/>
    <n v="8.6"/>
    <n v="16.399999999999999"/>
    <x v="0"/>
    <n v="124"/>
  </r>
  <r>
    <x v="27"/>
    <s v="Action"/>
    <x v="3"/>
    <x v="0"/>
    <n v="8.6"/>
    <n v="8.1999999999999993"/>
    <x v="3"/>
    <n v="125"/>
  </r>
  <r>
    <x v="44"/>
    <s v="Action"/>
    <x v="3"/>
    <x v="1"/>
    <n v="8.6"/>
    <n v="20.7"/>
    <x v="0"/>
    <n v="126"/>
  </r>
  <r>
    <x v="44"/>
    <s v="Action"/>
    <x v="3"/>
    <x v="1"/>
    <n v="8.6"/>
    <n v="16"/>
    <x v="2"/>
    <n v="127"/>
  </r>
  <r>
    <x v="44"/>
    <s v="Action"/>
    <x v="3"/>
    <x v="1"/>
    <n v="8.6"/>
    <n v="13.4"/>
    <x v="1"/>
    <n v="128"/>
  </r>
  <r>
    <x v="45"/>
    <s v="Action"/>
    <x v="0"/>
    <x v="4"/>
    <n v="8.6"/>
    <n v="24.5"/>
    <x v="0"/>
    <n v="129"/>
  </r>
  <r>
    <x v="46"/>
    <s v="Action"/>
    <x v="0"/>
    <x v="5"/>
    <n v="8.6"/>
    <n v="18.600000000000001"/>
    <x v="0"/>
    <n v="130"/>
  </r>
  <r>
    <x v="47"/>
    <s v="Mystery"/>
    <x v="0"/>
    <x v="5"/>
    <n v="8.6"/>
    <n v="10.199999999999999"/>
    <x v="0"/>
    <n v="131"/>
  </r>
  <r>
    <x v="47"/>
    <s v="Mystery"/>
    <x v="0"/>
    <x v="5"/>
    <n v="8.6"/>
    <n v="5.5"/>
    <x v="1"/>
    <n v="132"/>
  </r>
  <r>
    <x v="31"/>
    <s v="Comedy"/>
    <x v="0"/>
    <x v="5"/>
    <n v="8.6"/>
    <n v="9.6"/>
    <x v="2"/>
    <n v="133"/>
  </r>
  <r>
    <x v="32"/>
    <s v="Mystery"/>
    <x v="0"/>
    <x v="0"/>
    <n v="8.6"/>
    <n v="11.2"/>
    <x v="2"/>
    <n v="134"/>
  </r>
  <r>
    <x v="35"/>
    <s v="Adventure"/>
    <x v="0"/>
    <x v="3"/>
    <n v="8.6"/>
    <n v="13.6"/>
    <x v="2"/>
    <n v="135"/>
  </r>
  <r>
    <x v="41"/>
    <s v="Historical"/>
    <x v="0"/>
    <x v="3"/>
    <n v="8.6"/>
    <n v="10.1"/>
    <x v="0"/>
    <n v="136"/>
  </r>
  <r>
    <x v="48"/>
    <s v="Action"/>
    <x v="0"/>
    <x v="2"/>
    <n v="8.6"/>
    <n v="24"/>
    <x v="0"/>
    <n v="137"/>
  </r>
  <r>
    <x v="48"/>
    <s v="Action"/>
    <x v="0"/>
    <x v="2"/>
    <n v="8.6"/>
    <n v="19"/>
    <x v="2"/>
    <n v="138"/>
  </r>
  <r>
    <x v="19"/>
    <s v="Action"/>
    <x v="0"/>
    <x v="1"/>
    <n v="8.6"/>
    <n v="14.4"/>
    <x v="3"/>
    <n v="139"/>
  </r>
  <r>
    <x v="49"/>
    <s v="Sports"/>
    <x v="1"/>
    <x v="4"/>
    <n v="8.6"/>
    <n v="9.4"/>
    <x v="0"/>
    <n v="140"/>
  </r>
  <r>
    <x v="25"/>
    <s v="Drama"/>
    <x v="1"/>
    <x v="0"/>
    <n v="8.6"/>
    <n v="11.1"/>
    <x v="2"/>
    <n v="141"/>
  </r>
  <r>
    <x v="50"/>
    <s v="Comedy"/>
    <x v="2"/>
    <x v="5"/>
    <n v="8.6"/>
    <n v="17.8"/>
    <x v="0"/>
    <n v="142"/>
  </r>
  <r>
    <x v="26"/>
    <s v="Adventure"/>
    <x v="2"/>
    <x v="3"/>
    <n v="8.6"/>
    <n v="12"/>
    <x v="1"/>
    <n v="143"/>
  </r>
  <r>
    <x v="37"/>
    <s v="Adventure"/>
    <x v="3"/>
    <x v="4"/>
    <n v="8.5"/>
    <n v="8.6"/>
    <x v="2"/>
    <n v="144"/>
  </r>
  <r>
    <x v="27"/>
    <s v="Action"/>
    <x v="3"/>
    <x v="0"/>
    <n v="8.5"/>
    <n v="11.5"/>
    <x v="2"/>
    <n v="145"/>
  </r>
  <r>
    <x v="51"/>
    <s v="Action"/>
    <x v="3"/>
    <x v="3"/>
    <n v="8.5"/>
    <n v="16.600000000000001"/>
    <x v="0"/>
    <n v="146"/>
  </r>
  <r>
    <x v="52"/>
    <s v="Sci-Fi"/>
    <x v="3"/>
    <x v="3"/>
    <n v="8.5"/>
    <n v="16.2"/>
    <x v="0"/>
    <n v="147"/>
  </r>
  <r>
    <x v="38"/>
    <s v="Drama"/>
    <x v="3"/>
    <x v="3"/>
    <n v="8.5"/>
    <n v="10.4"/>
    <x v="2"/>
    <n v="148"/>
  </r>
  <r>
    <x v="53"/>
    <s v="Action"/>
    <x v="3"/>
    <x v="2"/>
    <n v="8.5"/>
    <n v="18.3"/>
    <x v="0"/>
    <n v="149"/>
  </r>
  <r>
    <x v="53"/>
    <s v="Action"/>
    <x v="3"/>
    <x v="2"/>
    <n v="8.5"/>
    <n v="14.1"/>
    <x v="2"/>
    <n v="150"/>
  </r>
  <r>
    <x v="28"/>
    <s v="Sci-Fi"/>
    <x v="3"/>
    <x v="2"/>
    <n v="8.5"/>
    <n v="9.5"/>
    <x v="3"/>
    <n v="151"/>
  </r>
  <r>
    <x v="44"/>
    <s v="Action"/>
    <x v="3"/>
    <x v="1"/>
    <n v="8.5"/>
    <n v="11.4"/>
    <x v="3"/>
    <n v="152"/>
  </r>
  <r>
    <x v="29"/>
    <s v="Drama"/>
    <x v="3"/>
    <x v="1"/>
    <n v="8.5"/>
    <n v="8.4"/>
    <x v="3"/>
    <n v="153"/>
  </r>
  <r>
    <x v="45"/>
    <s v="Action"/>
    <x v="0"/>
    <x v="4"/>
    <n v="8.5"/>
    <n v="15"/>
    <x v="1"/>
    <n v="154"/>
  </r>
  <r>
    <x v="30"/>
    <s v="Romance"/>
    <x v="0"/>
    <x v="5"/>
    <n v="8.5"/>
    <n v="10.9"/>
    <x v="2"/>
    <n v="155"/>
  </r>
  <r>
    <x v="30"/>
    <s v="Romance"/>
    <x v="0"/>
    <x v="5"/>
    <n v="8.5"/>
    <n v="9"/>
    <x v="1"/>
    <n v="156"/>
  </r>
  <r>
    <x v="40"/>
    <s v="Adventure"/>
    <x v="0"/>
    <x v="5"/>
    <n v="8.5"/>
    <n v="6.7"/>
    <x v="1"/>
    <n v="157"/>
  </r>
  <r>
    <x v="54"/>
    <s v="Romance"/>
    <x v="0"/>
    <x v="0"/>
    <n v="8.5"/>
    <n v="7.7"/>
    <x v="0"/>
    <n v="158"/>
  </r>
  <r>
    <x v="33"/>
    <s v="Drama"/>
    <x v="0"/>
    <x v="0"/>
    <n v="8.5"/>
    <n v="12.4"/>
    <x v="2"/>
    <n v="159"/>
  </r>
  <r>
    <x v="55"/>
    <s v="Fantasy"/>
    <x v="0"/>
    <x v="3"/>
    <n v="8.5"/>
    <n v="8.1999999999999993"/>
    <x v="1"/>
    <n v="160"/>
  </r>
  <r>
    <x v="56"/>
    <s v="Comedy"/>
    <x v="0"/>
    <x v="3"/>
    <n v="8.5"/>
    <n v="14.8"/>
    <x v="0"/>
    <n v="161"/>
  </r>
  <r>
    <x v="42"/>
    <s v="Fantasy"/>
    <x v="0"/>
    <x v="2"/>
    <n v="8.5"/>
    <n v="12.6"/>
    <x v="2"/>
    <n v="162"/>
  </r>
  <r>
    <x v="49"/>
    <s v="Sports"/>
    <x v="1"/>
    <x v="4"/>
    <n v="8.5"/>
    <n v="7.2"/>
    <x v="2"/>
    <n v="163"/>
  </r>
  <r>
    <x v="26"/>
    <s v="Adventure"/>
    <x v="2"/>
    <x v="3"/>
    <n v="8.5"/>
    <n v="15.2"/>
    <x v="2"/>
    <n v="164"/>
  </r>
  <r>
    <x v="26"/>
    <s v="Adventure"/>
    <x v="2"/>
    <x v="3"/>
    <n v="8.5"/>
    <n v="10.1"/>
    <x v="3"/>
    <n v="165"/>
  </r>
  <r>
    <x v="43"/>
    <s v="Sci-Fi"/>
    <x v="3"/>
    <x v="5"/>
    <n v="8.4"/>
    <n v="13.2"/>
    <x v="2"/>
    <n v="166"/>
  </r>
  <r>
    <x v="57"/>
    <s v="Adventure"/>
    <x v="3"/>
    <x v="0"/>
    <n v="8.4"/>
    <n v="18.3"/>
    <x v="0"/>
    <n v="167"/>
  </r>
  <r>
    <x v="51"/>
    <s v="Action"/>
    <x v="3"/>
    <x v="3"/>
    <n v="8.4"/>
    <n v="11"/>
    <x v="1"/>
    <n v="168"/>
  </r>
  <r>
    <x v="28"/>
    <s v="Sci-Fi"/>
    <x v="3"/>
    <x v="2"/>
    <n v="8.4"/>
    <n v="13.9"/>
    <x v="2"/>
    <n v="169"/>
  </r>
  <r>
    <x v="58"/>
    <s v="Fantasy"/>
    <x v="0"/>
    <x v="4"/>
    <n v="8.4"/>
    <n v="12.2"/>
    <x v="0"/>
    <n v="170"/>
  </r>
  <r>
    <x v="39"/>
    <s v="Mystery"/>
    <x v="0"/>
    <x v="4"/>
    <n v="8.4"/>
    <n v="4.4000000000000004"/>
    <x v="1"/>
    <n v="171"/>
  </r>
  <r>
    <x v="46"/>
    <s v="Action"/>
    <x v="0"/>
    <x v="5"/>
    <n v="8.4"/>
    <n v="13.9"/>
    <x v="2"/>
    <n v="172"/>
  </r>
  <r>
    <x v="40"/>
    <s v="Adventure"/>
    <x v="0"/>
    <x v="5"/>
    <n v="8.4"/>
    <n v="9.3000000000000007"/>
    <x v="2"/>
    <n v="173"/>
  </r>
  <r>
    <x v="47"/>
    <s v="Mystery"/>
    <x v="0"/>
    <x v="5"/>
    <n v="8.4"/>
    <n v="7.4"/>
    <x v="2"/>
    <n v="174"/>
  </r>
  <r>
    <x v="59"/>
    <s v="Action"/>
    <x v="0"/>
    <x v="0"/>
    <n v="8.4"/>
    <n v="13.6"/>
    <x v="0"/>
    <n v="175"/>
  </r>
  <r>
    <x v="59"/>
    <s v="Action"/>
    <x v="0"/>
    <x v="0"/>
    <n v="8.4"/>
    <n v="10.1"/>
    <x v="2"/>
    <n v="176"/>
  </r>
  <r>
    <x v="33"/>
    <s v="Drama"/>
    <x v="0"/>
    <x v="0"/>
    <n v="8.4"/>
    <n v="8.6"/>
    <x v="3"/>
    <n v="177"/>
  </r>
  <r>
    <x v="60"/>
    <s v="Action"/>
    <x v="0"/>
    <x v="3"/>
    <n v="8.4"/>
    <n v="22.6"/>
    <x v="0"/>
    <n v="178"/>
  </r>
  <r>
    <x v="60"/>
    <s v="Action"/>
    <x v="0"/>
    <x v="3"/>
    <n v="8.4"/>
    <n v="14.5"/>
    <x v="1"/>
    <n v="179"/>
  </r>
  <r>
    <x v="55"/>
    <s v="Fantasy"/>
    <x v="0"/>
    <x v="3"/>
    <n v="8.4"/>
    <n v="14.6"/>
    <x v="0"/>
    <n v="180"/>
  </r>
  <r>
    <x v="56"/>
    <s v="Comedy"/>
    <x v="0"/>
    <x v="3"/>
    <n v="8.4"/>
    <n v="11.3"/>
    <x v="2"/>
    <n v="181"/>
  </r>
  <r>
    <x v="49"/>
    <s v="Sports"/>
    <x v="1"/>
    <x v="4"/>
    <n v="8.4"/>
    <n v="5.9"/>
    <x v="1"/>
    <n v="182"/>
  </r>
  <r>
    <x v="61"/>
    <s v="Mystery"/>
    <x v="1"/>
    <x v="5"/>
    <n v="8.4"/>
    <n v="7.4"/>
    <x v="0"/>
    <n v="183"/>
  </r>
  <r>
    <x v="25"/>
    <s v="Drama"/>
    <x v="1"/>
    <x v="0"/>
    <n v="8.4"/>
    <n v="7.3"/>
    <x v="3"/>
    <n v="184"/>
  </r>
  <r>
    <x v="62"/>
    <s v="Action"/>
    <x v="2"/>
    <x v="2"/>
    <n v="8.4"/>
    <n v="18.3"/>
    <x v="0"/>
    <n v="185"/>
  </r>
  <r>
    <x v="62"/>
    <s v="Action"/>
    <x v="2"/>
    <x v="2"/>
    <n v="8.4"/>
    <n v="14.6"/>
    <x v="2"/>
    <n v="186"/>
  </r>
  <r>
    <x v="43"/>
    <s v="Sci-Fi"/>
    <x v="3"/>
    <x v="5"/>
    <n v="8.3000000000000007"/>
    <n v="8.1999999999999993"/>
    <x v="3"/>
    <n v="187"/>
  </r>
  <r>
    <x v="63"/>
    <s v="Sci-Fi"/>
    <x v="3"/>
    <x v="0"/>
    <n v="8.3000000000000007"/>
    <n v="8.1"/>
    <x v="0"/>
    <n v="188"/>
  </r>
  <r>
    <x v="63"/>
    <s v="Sci-Fi"/>
    <x v="3"/>
    <x v="0"/>
    <n v="8.3000000000000007"/>
    <n v="6"/>
    <x v="1"/>
    <n v="189"/>
  </r>
  <r>
    <x v="52"/>
    <s v="Sci-Fi"/>
    <x v="3"/>
    <x v="3"/>
    <n v="8.3000000000000007"/>
    <n v="12.7"/>
    <x v="2"/>
    <n v="190"/>
  </r>
  <r>
    <x v="52"/>
    <s v="Sci-Fi"/>
    <x v="3"/>
    <x v="3"/>
    <n v="8.3000000000000007"/>
    <n v="8.6999999999999993"/>
    <x v="3"/>
    <n v="191"/>
  </r>
  <r>
    <x v="38"/>
    <s v="Drama"/>
    <x v="3"/>
    <x v="3"/>
    <n v="8.3000000000000007"/>
    <n v="7.7"/>
    <x v="3"/>
    <n v="192"/>
  </r>
  <r>
    <x v="53"/>
    <s v="Action"/>
    <x v="3"/>
    <x v="2"/>
    <n v="8.3000000000000007"/>
    <n v="9.6"/>
    <x v="3"/>
    <n v="193"/>
  </r>
  <r>
    <x v="45"/>
    <s v="Action"/>
    <x v="0"/>
    <x v="4"/>
    <n v="8.3000000000000007"/>
    <n v="19.399999999999999"/>
    <x v="2"/>
    <n v="194"/>
  </r>
  <r>
    <x v="64"/>
    <s v="Sci-Fi"/>
    <x v="0"/>
    <x v="4"/>
    <n v="8.3000000000000007"/>
    <n v="10.9"/>
    <x v="0"/>
    <n v="195"/>
  </r>
  <r>
    <x v="65"/>
    <s v="Drama"/>
    <x v="0"/>
    <x v="4"/>
    <n v="8.3000000000000007"/>
    <n v="9.5"/>
    <x v="0"/>
    <n v="196"/>
  </r>
  <r>
    <x v="66"/>
    <s v="Comedy"/>
    <x v="0"/>
    <x v="5"/>
    <n v="8.3000000000000007"/>
    <n v="20"/>
    <x v="0"/>
    <n v="197"/>
  </r>
  <r>
    <x v="67"/>
    <s v="Action"/>
    <x v="0"/>
    <x v="5"/>
    <n v="8.3000000000000007"/>
    <n v="12.6"/>
    <x v="0"/>
    <n v="198"/>
  </r>
  <r>
    <x v="60"/>
    <s v="Action"/>
    <x v="0"/>
    <x v="3"/>
    <n v="8.3000000000000007"/>
    <n v="18"/>
    <x v="2"/>
    <n v="199"/>
  </r>
  <r>
    <x v="68"/>
    <s v="Sports"/>
    <x v="0"/>
    <x v="3"/>
    <n v="8.3000000000000007"/>
    <n v="9.9"/>
    <x v="1"/>
    <n v="200"/>
  </r>
  <r>
    <x v="55"/>
    <s v="Fantasy"/>
    <x v="0"/>
    <x v="3"/>
    <n v="8.3000000000000007"/>
    <n v="11"/>
    <x v="2"/>
    <n v="201"/>
  </r>
  <r>
    <x v="48"/>
    <s v="Action"/>
    <x v="0"/>
    <x v="2"/>
    <n v="8.3000000000000007"/>
    <n v="13.3"/>
    <x v="3"/>
    <n v="202"/>
  </r>
  <r>
    <x v="69"/>
    <s v="Romance"/>
    <x v="0"/>
    <x v="2"/>
    <n v="8.3000000000000007"/>
    <n v="12.5"/>
    <x v="0"/>
    <n v="203"/>
  </r>
  <r>
    <x v="70"/>
    <s v="Romance"/>
    <x v="2"/>
    <x v="4"/>
    <n v="8.3000000000000007"/>
    <n v="10.3"/>
    <x v="0"/>
    <n v="204"/>
  </r>
  <r>
    <x v="70"/>
    <s v="Romance"/>
    <x v="2"/>
    <x v="4"/>
    <n v="8.3000000000000007"/>
    <n v="6.2"/>
    <x v="1"/>
    <n v="205"/>
  </r>
  <r>
    <x v="50"/>
    <s v="Comedy"/>
    <x v="2"/>
    <x v="5"/>
    <n v="8.3000000000000007"/>
    <n v="8.8000000000000007"/>
    <x v="3"/>
    <n v="206"/>
  </r>
  <r>
    <x v="71"/>
    <s v="Action"/>
    <x v="2"/>
    <x v="0"/>
    <n v="8.3000000000000007"/>
    <n v="10.5"/>
    <x v="0"/>
    <n v="207"/>
  </r>
  <r>
    <x v="72"/>
    <s v="Action"/>
    <x v="2"/>
    <x v="3"/>
    <n v="8.3000000000000007"/>
    <n v="16.899999999999999"/>
    <x v="0"/>
    <n v="208"/>
  </r>
  <r>
    <x v="62"/>
    <s v="Action"/>
    <x v="2"/>
    <x v="2"/>
    <n v="8.3000000000000007"/>
    <n v="9.6"/>
    <x v="3"/>
    <n v="209"/>
  </r>
  <r>
    <x v="73"/>
    <s v="Drama"/>
    <x v="3"/>
    <x v="5"/>
    <n v="8.1999999999999993"/>
    <n v="8.5"/>
    <x v="0"/>
    <n v="210"/>
  </r>
  <r>
    <x v="63"/>
    <s v="Sci-Fi"/>
    <x v="3"/>
    <x v="0"/>
    <n v="8.1999999999999993"/>
    <n v="6.6"/>
    <x v="2"/>
    <n v="211"/>
  </r>
  <r>
    <x v="51"/>
    <s v="Action"/>
    <x v="3"/>
    <x v="3"/>
    <n v="8.1999999999999993"/>
    <n v="13.5"/>
    <x v="2"/>
    <n v="212"/>
  </r>
  <r>
    <x v="45"/>
    <s v="Action"/>
    <x v="0"/>
    <x v="4"/>
    <n v="8.1999999999999993"/>
    <n v="12.3"/>
    <x v="3"/>
    <n v="213"/>
  </r>
  <r>
    <x v="58"/>
    <s v="Fantasy"/>
    <x v="0"/>
    <x v="4"/>
    <n v="8.1999999999999993"/>
    <n v="8.3000000000000007"/>
    <x v="1"/>
    <n v="214"/>
  </r>
  <r>
    <x v="74"/>
    <s v="Fantasy"/>
    <x v="0"/>
    <x v="4"/>
    <n v="8.1999999999999993"/>
    <n v="11.5"/>
    <x v="0"/>
    <n v="215"/>
  </r>
  <r>
    <x v="75"/>
    <s v="Sci-Fi"/>
    <x v="0"/>
    <x v="0"/>
    <n v="8.1999999999999993"/>
    <n v="11.9"/>
    <x v="0"/>
    <n v="216"/>
  </r>
  <r>
    <x v="54"/>
    <s v="Romance"/>
    <x v="0"/>
    <x v="0"/>
    <n v="8.1999999999999993"/>
    <n v="4.9000000000000004"/>
    <x v="1"/>
    <n v="217"/>
  </r>
  <r>
    <x v="60"/>
    <s v="Action"/>
    <x v="0"/>
    <x v="3"/>
    <n v="8.1999999999999993"/>
    <n v="11.5"/>
    <x v="3"/>
    <n v="218"/>
  </r>
  <r>
    <x v="68"/>
    <s v="Sports"/>
    <x v="0"/>
    <x v="3"/>
    <n v="8.1999999999999993"/>
    <n v="15.3"/>
    <x v="0"/>
    <n v="219"/>
  </r>
  <r>
    <x v="68"/>
    <s v="Sports"/>
    <x v="0"/>
    <x v="3"/>
    <n v="8.1999999999999993"/>
    <n v="11.9"/>
    <x v="2"/>
    <n v="220"/>
  </r>
  <r>
    <x v="56"/>
    <s v="Comedy"/>
    <x v="0"/>
    <x v="3"/>
    <n v="8.1999999999999993"/>
    <n v="7.9"/>
    <x v="3"/>
    <n v="221"/>
  </r>
  <r>
    <x v="76"/>
    <s v="Fantasy"/>
    <x v="0"/>
    <x v="3"/>
    <n v="8.1999999999999993"/>
    <n v="11.4"/>
    <x v="0"/>
    <n v="222"/>
  </r>
  <r>
    <x v="76"/>
    <s v="Fantasy"/>
    <x v="0"/>
    <x v="3"/>
    <n v="8.1999999999999993"/>
    <n v="8.1"/>
    <x v="2"/>
    <n v="223"/>
  </r>
  <r>
    <x v="76"/>
    <s v="Fantasy"/>
    <x v="0"/>
    <x v="3"/>
    <n v="8.1999999999999993"/>
    <n v="7.5"/>
    <x v="1"/>
    <n v="224"/>
  </r>
  <r>
    <x v="77"/>
    <s v="Historical"/>
    <x v="1"/>
    <x v="4"/>
    <n v="8.1999999999999993"/>
    <n v="7.8"/>
    <x v="0"/>
    <n v="225"/>
  </r>
  <r>
    <x v="78"/>
    <s v="Comedy"/>
    <x v="1"/>
    <x v="4"/>
    <n v="8.1999999999999993"/>
    <n v="6.9"/>
    <x v="0"/>
    <n v="226"/>
  </r>
  <r>
    <x v="79"/>
    <s v="Sci-Fi"/>
    <x v="1"/>
    <x v="0"/>
    <n v="8.1999999999999993"/>
    <n v="8.1999999999999993"/>
    <x v="0"/>
    <n v="227"/>
  </r>
  <r>
    <x v="79"/>
    <s v="Sci-Fi"/>
    <x v="1"/>
    <x v="0"/>
    <n v="8.1999999999999993"/>
    <n v="4.9000000000000004"/>
    <x v="1"/>
    <n v="228"/>
  </r>
  <r>
    <x v="80"/>
    <s v="Sci-Fi"/>
    <x v="1"/>
    <x v="1"/>
    <n v="8.1999999999999993"/>
    <n v="11.3"/>
    <x v="0"/>
    <n v="229"/>
  </r>
  <r>
    <x v="80"/>
    <s v="Sci-Fi"/>
    <x v="1"/>
    <x v="1"/>
    <n v="8.1999999999999993"/>
    <n v="6.4"/>
    <x v="1"/>
    <n v="230"/>
  </r>
  <r>
    <x v="70"/>
    <s v="Romance"/>
    <x v="2"/>
    <x v="4"/>
    <n v="8.1999999999999993"/>
    <n v="8.9"/>
    <x v="2"/>
    <n v="231"/>
  </r>
  <r>
    <x v="50"/>
    <s v="Comedy"/>
    <x v="2"/>
    <x v="5"/>
    <n v="8.1999999999999993"/>
    <n v="13.9"/>
    <x v="2"/>
    <n v="232"/>
  </r>
  <r>
    <x v="81"/>
    <s v="Action"/>
    <x v="2"/>
    <x v="1"/>
    <n v="8.1999999999999993"/>
    <n v="17.600000000000001"/>
    <x v="0"/>
    <n v="233"/>
  </r>
  <r>
    <x v="57"/>
    <s v="Adventure"/>
    <x v="3"/>
    <x v="0"/>
    <n v="8.1"/>
    <n v="14.4"/>
    <x v="2"/>
    <n v="234"/>
  </r>
  <r>
    <x v="57"/>
    <s v="Adventure"/>
    <x v="3"/>
    <x v="0"/>
    <n v="8.1"/>
    <n v="10.1"/>
    <x v="3"/>
    <n v="235"/>
  </r>
  <r>
    <x v="51"/>
    <s v="Action"/>
    <x v="3"/>
    <x v="3"/>
    <n v="8.1"/>
    <n v="8.9"/>
    <x v="3"/>
    <n v="236"/>
  </r>
  <r>
    <x v="72"/>
    <s v="Action"/>
    <x v="3"/>
    <x v="3"/>
    <n v="8.1"/>
    <n v="17.100000000000001"/>
    <x v="0"/>
    <n v="237"/>
  </r>
  <r>
    <x v="82"/>
    <s v="Romance"/>
    <x v="3"/>
    <x v="2"/>
    <n v="8.1"/>
    <n v="9.1999999999999993"/>
    <x v="0"/>
    <n v="238"/>
  </r>
  <r>
    <x v="83"/>
    <s v="Comedy"/>
    <x v="3"/>
    <x v="2"/>
    <n v="8.1"/>
    <n v="11.9"/>
    <x v="0"/>
    <n v="239"/>
  </r>
  <r>
    <x v="58"/>
    <s v="Fantasy"/>
    <x v="0"/>
    <x v="4"/>
    <n v="8.1"/>
    <n v="10.199999999999999"/>
    <x v="2"/>
    <n v="240"/>
  </r>
  <r>
    <x v="64"/>
    <s v="Sci-Fi"/>
    <x v="0"/>
    <x v="4"/>
    <n v="8.1"/>
    <n v="8.6999999999999993"/>
    <x v="2"/>
    <n v="241"/>
  </r>
  <r>
    <x v="64"/>
    <s v="Sci-Fi"/>
    <x v="0"/>
    <x v="4"/>
    <n v="8.1"/>
    <n v="6.9"/>
    <x v="1"/>
    <n v="242"/>
  </r>
  <r>
    <x v="84"/>
    <s v="Fantasy"/>
    <x v="0"/>
    <x v="4"/>
    <n v="8.1"/>
    <n v="14"/>
    <x v="0"/>
    <n v="243"/>
  </r>
  <r>
    <x v="84"/>
    <s v="Fantasy"/>
    <x v="0"/>
    <x v="4"/>
    <n v="8.1"/>
    <n v="10.5"/>
    <x v="2"/>
    <n v="244"/>
  </r>
  <r>
    <x v="85"/>
    <s v="Romance"/>
    <x v="0"/>
    <x v="4"/>
    <n v="8.1"/>
    <n v="12"/>
    <x v="0"/>
    <n v="245"/>
  </r>
  <r>
    <x v="46"/>
    <s v="Action"/>
    <x v="0"/>
    <x v="5"/>
    <n v="8.1"/>
    <n v="9.4"/>
    <x v="3"/>
    <n v="246"/>
  </r>
  <r>
    <x v="86"/>
    <s v="Action"/>
    <x v="0"/>
    <x v="5"/>
    <n v="8.1"/>
    <n v="17"/>
    <x v="0"/>
    <n v="247"/>
  </r>
  <r>
    <x v="67"/>
    <s v="Action"/>
    <x v="0"/>
    <x v="5"/>
    <n v="8.1"/>
    <n v="8"/>
    <x v="1"/>
    <n v="248"/>
  </r>
  <r>
    <x v="59"/>
    <s v="Action"/>
    <x v="0"/>
    <x v="0"/>
    <n v="8.1"/>
    <n v="7.3"/>
    <x v="3"/>
    <n v="249"/>
  </r>
  <r>
    <x v="87"/>
    <s v="Action"/>
    <x v="0"/>
    <x v="0"/>
    <n v="8.1"/>
    <n v="9.5"/>
    <x v="0"/>
    <n v="250"/>
  </r>
  <r>
    <x v="88"/>
    <s v="Action"/>
    <x v="0"/>
    <x v="3"/>
    <n v="8.1"/>
    <n v="18.5"/>
    <x v="0"/>
    <n v="251"/>
  </r>
  <r>
    <x v="88"/>
    <s v="Action"/>
    <x v="0"/>
    <x v="3"/>
    <n v="8.1"/>
    <n v="14.5"/>
    <x v="2"/>
    <n v="252"/>
  </r>
  <r>
    <x v="69"/>
    <s v="Romance"/>
    <x v="0"/>
    <x v="2"/>
    <n v="8.1"/>
    <n v="7.1"/>
    <x v="1"/>
    <n v="253"/>
  </r>
  <r>
    <x v="69"/>
    <s v="Romance"/>
    <x v="0"/>
    <x v="2"/>
    <n v="8.1"/>
    <n v="9"/>
    <x v="2"/>
    <n v="254"/>
  </r>
  <r>
    <x v="61"/>
    <s v="Mystery"/>
    <x v="1"/>
    <x v="5"/>
    <n v="8.1"/>
    <n v="4.7"/>
    <x v="1"/>
    <n v="255"/>
  </r>
  <r>
    <x v="61"/>
    <s v="Mystery"/>
    <x v="1"/>
    <x v="5"/>
    <n v="8.1"/>
    <n v="5.2"/>
    <x v="2"/>
    <n v="256"/>
  </r>
  <r>
    <x v="89"/>
    <s v="Comedy"/>
    <x v="1"/>
    <x v="5"/>
    <n v="8.1"/>
    <n v="11.7"/>
    <x v="0"/>
    <n v="257"/>
  </r>
  <r>
    <x v="79"/>
    <s v="Sci-Fi"/>
    <x v="1"/>
    <x v="0"/>
    <n v="8.1"/>
    <n v="6.3"/>
    <x v="2"/>
    <n v="258"/>
  </r>
  <r>
    <x v="90"/>
    <s v="Comedy"/>
    <x v="1"/>
    <x v="0"/>
    <n v="8.1"/>
    <n v="10.6"/>
    <x v="0"/>
    <n v="259"/>
  </r>
  <r>
    <x v="91"/>
    <s v="Action"/>
    <x v="2"/>
    <x v="4"/>
    <n v="8.1"/>
    <n v="13.6"/>
    <x v="0"/>
    <n v="260"/>
  </r>
  <r>
    <x v="86"/>
    <s v="Action"/>
    <x v="2"/>
    <x v="5"/>
    <n v="8.1"/>
    <n v="17.3"/>
    <x v="0"/>
    <n v="261"/>
  </r>
  <r>
    <x v="86"/>
    <s v="Action"/>
    <x v="2"/>
    <x v="5"/>
    <n v="8.1"/>
    <n v="13.3"/>
    <x v="2"/>
    <n v="262"/>
  </r>
  <r>
    <x v="92"/>
    <s v="Historical"/>
    <x v="2"/>
    <x v="0"/>
    <n v="8.1"/>
    <n v="11.5"/>
    <x v="0"/>
    <n v="263"/>
  </r>
  <r>
    <x v="93"/>
    <s v="Action"/>
    <x v="2"/>
    <x v="3"/>
    <n v="8.1"/>
    <n v="14.2"/>
    <x v="0"/>
    <n v="264"/>
  </r>
  <r>
    <x v="94"/>
    <s v="Action"/>
    <x v="2"/>
    <x v="2"/>
    <n v="8.1"/>
    <n v="17"/>
    <x v="0"/>
    <n v="265"/>
  </r>
  <r>
    <x v="73"/>
    <s v="Drama"/>
    <x v="3"/>
    <x v="5"/>
    <n v="8"/>
    <n v="5"/>
    <x v="1"/>
    <n v="266"/>
  </r>
  <r>
    <x v="95"/>
    <s v="Action"/>
    <x v="3"/>
    <x v="0"/>
    <n v="8"/>
    <n v="9.4"/>
    <x v="0"/>
    <n v="267"/>
  </r>
  <r>
    <x v="82"/>
    <s v="Romance"/>
    <x v="3"/>
    <x v="2"/>
    <n v="8"/>
    <n v="5.6"/>
    <x v="1"/>
    <n v="268"/>
  </r>
  <r>
    <x v="74"/>
    <s v="Fantasy"/>
    <x v="0"/>
    <x v="4"/>
    <n v="8"/>
    <n v="9.1999999999999993"/>
    <x v="2"/>
    <n v="269"/>
  </r>
  <r>
    <x v="74"/>
    <s v="Fantasy"/>
    <x v="0"/>
    <x v="4"/>
    <n v="8"/>
    <n v="5.9"/>
    <x v="3"/>
    <n v="270"/>
  </r>
  <r>
    <x v="65"/>
    <s v="Drama"/>
    <x v="0"/>
    <x v="4"/>
    <n v="8"/>
    <n v="5.0999999999999996"/>
    <x v="3"/>
    <n v="271"/>
  </r>
  <r>
    <x v="84"/>
    <s v="Fantasy"/>
    <x v="0"/>
    <x v="4"/>
    <n v="8"/>
    <n v="7.1"/>
    <x v="3"/>
    <n v="272"/>
  </r>
  <r>
    <x v="85"/>
    <s v="Romance"/>
    <x v="0"/>
    <x v="4"/>
    <n v="8"/>
    <n v="8.6"/>
    <x v="2"/>
    <n v="273"/>
  </r>
  <r>
    <x v="66"/>
    <s v="Comedy"/>
    <x v="0"/>
    <x v="5"/>
    <n v="8"/>
    <n v="15.1"/>
    <x v="2"/>
    <n v="274"/>
  </r>
  <r>
    <x v="66"/>
    <s v="Comedy"/>
    <x v="0"/>
    <x v="5"/>
    <n v="8"/>
    <n v="11.8"/>
    <x v="1"/>
    <n v="275"/>
  </r>
  <r>
    <x v="86"/>
    <s v="Action"/>
    <x v="0"/>
    <x v="5"/>
    <n v="8"/>
    <n v="13.9"/>
    <x v="2"/>
    <n v="276"/>
  </r>
  <r>
    <x v="96"/>
    <s v="Fantasy"/>
    <x v="0"/>
    <x v="5"/>
    <n v="8"/>
    <n v="10.3"/>
    <x v="0"/>
    <n v="277"/>
  </r>
  <r>
    <x v="75"/>
    <s v="Sci-Fi"/>
    <x v="0"/>
    <x v="0"/>
    <n v="8"/>
    <n v="8.9"/>
    <x v="2"/>
    <n v="278"/>
  </r>
  <r>
    <x v="77"/>
    <s v="Historical"/>
    <x v="1"/>
    <x v="4"/>
    <n v="8"/>
    <n v="5.0999999999999996"/>
    <x v="1"/>
    <n v="279"/>
  </r>
  <r>
    <x v="77"/>
    <s v="Historical"/>
    <x v="1"/>
    <x v="4"/>
    <n v="8"/>
    <n v="6.1"/>
    <x v="2"/>
    <n v="280"/>
  </r>
  <r>
    <x v="89"/>
    <s v="Comedy"/>
    <x v="1"/>
    <x v="5"/>
    <n v="8"/>
    <n v="6.4"/>
    <x v="3"/>
    <n v="281"/>
  </r>
  <r>
    <x v="97"/>
    <s v="Sci-Fi"/>
    <x v="1"/>
    <x v="3"/>
    <n v="8"/>
    <n v="9.4"/>
    <x v="0"/>
    <n v="282"/>
  </r>
  <r>
    <x v="86"/>
    <s v="Action"/>
    <x v="2"/>
    <x v="5"/>
    <n v="8"/>
    <n v="9.1999999999999993"/>
    <x v="3"/>
    <n v="283"/>
  </r>
  <r>
    <x v="92"/>
    <s v="Historical"/>
    <x v="2"/>
    <x v="0"/>
    <n v="8"/>
    <n v="8.1999999999999993"/>
    <x v="2"/>
    <n v="284"/>
  </r>
  <r>
    <x v="92"/>
    <s v="Historical"/>
    <x v="2"/>
    <x v="0"/>
    <n v="8"/>
    <n v="6.6"/>
    <x v="1"/>
    <n v="285"/>
  </r>
  <r>
    <x v="71"/>
    <s v="Action"/>
    <x v="2"/>
    <x v="0"/>
    <n v="8"/>
    <n v="5.9"/>
    <x v="3"/>
    <n v="286"/>
  </r>
  <r>
    <x v="81"/>
    <s v="Action"/>
    <x v="2"/>
    <x v="1"/>
    <n v="8"/>
    <n v="14.6"/>
    <x v="2"/>
    <n v="287"/>
  </r>
  <r>
    <x v="73"/>
    <s v="Drama"/>
    <x v="3"/>
    <x v="5"/>
    <n v="7.9"/>
    <n v="6.4"/>
    <x v="2"/>
    <n v="288"/>
  </r>
  <r>
    <x v="98"/>
    <s v="Comedy"/>
    <x v="3"/>
    <x v="0"/>
    <n v="7.9"/>
    <n v="8.3000000000000007"/>
    <x v="0"/>
    <n v="289"/>
  </r>
  <r>
    <x v="83"/>
    <s v="Comedy"/>
    <x v="3"/>
    <x v="2"/>
    <n v="7.9"/>
    <n v="7.9"/>
    <x v="1"/>
    <n v="290"/>
  </r>
  <r>
    <x v="65"/>
    <s v="Drama"/>
    <x v="0"/>
    <x v="4"/>
    <n v="7.9"/>
    <n v="7.8"/>
    <x v="2"/>
    <n v="291"/>
  </r>
  <r>
    <x v="85"/>
    <s v="Romance"/>
    <x v="0"/>
    <x v="4"/>
    <n v="7.9"/>
    <n v="6.6"/>
    <x v="3"/>
    <n v="292"/>
  </r>
  <r>
    <x v="67"/>
    <s v="Action"/>
    <x v="0"/>
    <x v="5"/>
    <n v="7.9"/>
    <n v="10.3"/>
    <x v="2"/>
    <n v="293"/>
  </r>
  <r>
    <x v="75"/>
    <s v="Sci-Fi"/>
    <x v="0"/>
    <x v="0"/>
    <n v="7.9"/>
    <n v="5.9"/>
    <x v="3"/>
    <n v="294"/>
  </r>
  <r>
    <x v="87"/>
    <s v="Action"/>
    <x v="0"/>
    <x v="0"/>
    <n v="7.9"/>
    <n v="6.1"/>
    <x v="1"/>
    <n v="295"/>
  </r>
  <r>
    <x v="68"/>
    <s v="Sports"/>
    <x v="0"/>
    <x v="3"/>
    <n v="7.9"/>
    <n v="7.7"/>
    <x v="3"/>
    <n v="296"/>
  </r>
  <r>
    <x v="88"/>
    <s v="Action"/>
    <x v="0"/>
    <x v="3"/>
    <n v="7.9"/>
    <n v="10.1"/>
    <x v="3"/>
    <n v="297"/>
  </r>
  <r>
    <x v="99"/>
    <s v="Drama"/>
    <x v="1"/>
    <x v="4"/>
    <n v="7.9"/>
    <n v="7.7"/>
    <x v="0"/>
    <n v="298"/>
  </r>
  <r>
    <x v="99"/>
    <s v="Drama"/>
    <x v="1"/>
    <x v="4"/>
    <n v="7.9"/>
    <n v="5.2"/>
    <x v="1"/>
    <n v="299"/>
  </r>
  <r>
    <x v="78"/>
    <s v="Comedy"/>
    <x v="1"/>
    <x v="4"/>
    <n v="7.9"/>
    <n v="5.2"/>
    <x v="1"/>
    <n v="300"/>
  </r>
  <r>
    <x v="89"/>
    <s v="Comedy"/>
    <x v="1"/>
    <x v="5"/>
    <n v="7.9"/>
    <n v="9.4"/>
    <x v="2"/>
    <n v="301"/>
  </r>
  <r>
    <x v="90"/>
    <s v="Comedy"/>
    <x v="1"/>
    <x v="0"/>
    <n v="7.9"/>
    <n v="5.0999999999999996"/>
    <x v="3"/>
    <n v="302"/>
  </r>
  <r>
    <x v="100"/>
    <s v="Romance"/>
    <x v="1"/>
    <x v="3"/>
    <n v="7.9"/>
    <n v="8.1999999999999993"/>
    <x v="0"/>
    <n v="303"/>
  </r>
  <r>
    <x v="97"/>
    <s v="Sci-Fi"/>
    <x v="1"/>
    <x v="3"/>
    <n v="7.9"/>
    <n v="5.7"/>
    <x v="1"/>
    <n v="304"/>
  </r>
  <r>
    <x v="101"/>
    <s v="Sci-Fi"/>
    <x v="1"/>
    <x v="2"/>
    <n v="7.9"/>
    <n v="9.8000000000000007"/>
    <x v="0"/>
    <n v="305"/>
  </r>
  <r>
    <x v="101"/>
    <s v="Sci-Fi"/>
    <x v="1"/>
    <x v="2"/>
    <n v="7.9"/>
    <n v="7.8"/>
    <x v="2"/>
    <n v="306"/>
  </r>
  <r>
    <x v="80"/>
    <s v="Sci-Fi"/>
    <x v="1"/>
    <x v="1"/>
    <n v="7.9"/>
    <n v="7.9"/>
    <x v="2"/>
    <n v="307"/>
  </r>
  <r>
    <x v="102"/>
    <s v="Fantasy"/>
    <x v="2"/>
    <x v="5"/>
    <n v="7.9"/>
    <n v="10.1"/>
    <x v="0"/>
    <n v="308"/>
  </r>
  <r>
    <x v="71"/>
    <s v="Action"/>
    <x v="2"/>
    <x v="0"/>
    <n v="7.9"/>
    <n v="7.7"/>
    <x v="2"/>
    <n v="309"/>
  </r>
  <r>
    <x v="72"/>
    <s v="Action"/>
    <x v="2"/>
    <x v="3"/>
    <n v="7.9"/>
    <n v="13.6"/>
    <x v="2"/>
    <n v="310"/>
  </r>
  <r>
    <x v="72"/>
    <s v="Action"/>
    <x v="2"/>
    <x v="3"/>
    <n v="7.9"/>
    <n v="8.4"/>
    <x v="3"/>
    <n v="311"/>
  </r>
  <r>
    <x v="103"/>
    <s v="Action"/>
    <x v="2"/>
    <x v="3"/>
    <n v="7.9"/>
    <n v="10.6"/>
    <x v="1"/>
    <n v="312"/>
  </r>
  <r>
    <x v="104"/>
    <s v="Drama"/>
    <x v="3"/>
    <x v="0"/>
    <n v="7.8"/>
    <n v="9"/>
    <x v="0"/>
    <n v="313"/>
  </r>
  <r>
    <x v="95"/>
    <s v="Action"/>
    <x v="3"/>
    <x v="0"/>
    <n v="7.8"/>
    <n v="7"/>
    <x v="2"/>
    <n v="314"/>
  </r>
  <r>
    <x v="72"/>
    <s v="Action"/>
    <x v="3"/>
    <x v="3"/>
    <n v="7.8"/>
    <n v="8.9"/>
    <x v="3"/>
    <n v="315"/>
  </r>
  <r>
    <x v="82"/>
    <s v="Romance"/>
    <x v="3"/>
    <x v="2"/>
    <n v="7.8"/>
    <n v="7.5"/>
    <x v="2"/>
    <n v="316"/>
  </r>
  <r>
    <x v="66"/>
    <s v="Comedy"/>
    <x v="0"/>
    <x v="5"/>
    <n v="7.8"/>
    <n v="10.199999999999999"/>
    <x v="3"/>
    <n v="317"/>
  </r>
  <r>
    <x v="86"/>
    <s v="Action"/>
    <x v="0"/>
    <x v="5"/>
    <n v="7.8"/>
    <n v="9"/>
    <x v="3"/>
    <n v="318"/>
  </r>
  <r>
    <x v="87"/>
    <s v="Action"/>
    <x v="0"/>
    <x v="0"/>
    <n v="7.8"/>
    <n v="7.3"/>
    <x v="2"/>
    <n v="319"/>
  </r>
  <r>
    <x v="105"/>
    <s v="Sports"/>
    <x v="1"/>
    <x v="5"/>
    <n v="7.8"/>
    <n v="6.8"/>
    <x v="0"/>
    <n v="320"/>
  </r>
  <r>
    <x v="105"/>
    <s v="Sports"/>
    <x v="1"/>
    <x v="5"/>
    <n v="7.8"/>
    <n v="3.9"/>
    <x v="1"/>
    <n v="321"/>
  </r>
  <r>
    <x v="106"/>
    <s v="Comedy"/>
    <x v="1"/>
    <x v="5"/>
    <n v="7.8"/>
    <n v="9.1999999999999993"/>
    <x v="0"/>
    <n v="322"/>
  </r>
  <r>
    <x v="106"/>
    <s v="Comedy"/>
    <x v="1"/>
    <x v="5"/>
    <n v="7.8"/>
    <n v="5.8"/>
    <x v="1"/>
    <n v="323"/>
  </r>
  <r>
    <x v="106"/>
    <s v="Comedy"/>
    <x v="1"/>
    <x v="5"/>
    <n v="7.8"/>
    <n v="7.4"/>
    <x v="2"/>
    <n v="324"/>
  </r>
  <r>
    <x v="90"/>
    <s v="Comedy"/>
    <x v="1"/>
    <x v="0"/>
    <n v="7.8"/>
    <n v="8.6999999999999993"/>
    <x v="2"/>
    <n v="325"/>
  </r>
  <r>
    <x v="91"/>
    <s v="Action"/>
    <x v="2"/>
    <x v="4"/>
    <n v="7.8"/>
    <n v="10.7"/>
    <x v="2"/>
    <n v="326"/>
  </r>
  <r>
    <x v="91"/>
    <s v="Action"/>
    <x v="2"/>
    <x v="4"/>
    <n v="7.8"/>
    <n v="7.3"/>
    <x v="3"/>
    <n v="327"/>
  </r>
  <r>
    <x v="102"/>
    <s v="Fantasy"/>
    <x v="2"/>
    <x v="5"/>
    <n v="7.8"/>
    <n v="7.8"/>
    <x v="2"/>
    <n v="328"/>
  </r>
  <r>
    <x v="107"/>
    <s v="Action"/>
    <x v="2"/>
    <x v="5"/>
    <n v="7.8"/>
    <n v="16.2"/>
    <x v="0"/>
    <n v="329"/>
  </r>
  <r>
    <x v="103"/>
    <s v="Action"/>
    <x v="2"/>
    <x v="3"/>
    <n v="7.8"/>
    <n v="16.2"/>
    <x v="0"/>
    <n v="330"/>
  </r>
  <r>
    <x v="94"/>
    <s v="Action"/>
    <x v="2"/>
    <x v="2"/>
    <n v="7.8"/>
    <n v="13.4"/>
    <x v="2"/>
    <n v="331"/>
  </r>
  <r>
    <x v="81"/>
    <s v="Action"/>
    <x v="2"/>
    <x v="1"/>
    <n v="7.8"/>
    <n v="9.6999999999999993"/>
    <x v="3"/>
    <n v="332"/>
  </r>
  <r>
    <x v="108"/>
    <s v="Action"/>
    <x v="3"/>
    <x v="4"/>
    <n v="7.7"/>
    <n v="7.5"/>
    <x v="0"/>
    <n v="333"/>
  </r>
  <r>
    <x v="98"/>
    <s v="Comedy"/>
    <x v="3"/>
    <x v="0"/>
    <n v="7.7"/>
    <n v="7"/>
    <x v="2"/>
    <n v="334"/>
  </r>
  <r>
    <x v="95"/>
    <s v="Action"/>
    <x v="3"/>
    <x v="0"/>
    <n v="7.7"/>
    <n v="4.8"/>
    <x v="3"/>
    <n v="335"/>
  </r>
  <r>
    <x v="72"/>
    <s v="Action"/>
    <x v="3"/>
    <x v="3"/>
    <n v="7.7"/>
    <n v="13.7"/>
    <x v="2"/>
    <n v="336"/>
  </r>
  <r>
    <x v="83"/>
    <s v="Comedy"/>
    <x v="3"/>
    <x v="2"/>
    <n v="7.7"/>
    <n v="8.8000000000000007"/>
    <x v="2"/>
    <n v="337"/>
  </r>
  <r>
    <x v="109"/>
    <s v="Adventure"/>
    <x v="0"/>
    <x v="4"/>
    <n v="7.7"/>
    <n v="8.1999999999999993"/>
    <x v="0"/>
    <n v="338"/>
  </r>
  <r>
    <x v="109"/>
    <s v="Adventure"/>
    <x v="0"/>
    <x v="4"/>
    <n v="7.7"/>
    <n v="7.1"/>
    <x v="2"/>
    <n v="339"/>
  </r>
  <r>
    <x v="96"/>
    <s v="Fantasy"/>
    <x v="0"/>
    <x v="5"/>
    <n v="7.7"/>
    <n v="7.9"/>
    <x v="2"/>
    <n v="340"/>
  </r>
  <r>
    <x v="105"/>
    <s v="Sports"/>
    <x v="1"/>
    <x v="5"/>
    <n v="7.7"/>
    <n v="5.8"/>
    <x v="2"/>
    <n v="341"/>
  </r>
  <r>
    <x v="100"/>
    <s v="Romance"/>
    <x v="1"/>
    <x v="3"/>
    <n v="7.7"/>
    <n v="5.0999999999999996"/>
    <x v="1"/>
    <n v="342"/>
  </r>
  <r>
    <x v="100"/>
    <s v="Romance"/>
    <x v="1"/>
    <x v="3"/>
    <n v="7.7"/>
    <n v="5.4"/>
    <x v="2"/>
    <n v="343"/>
  </r>
  <r>
    <x v="97"/>
    <s v="Sci-Fi"/>
    <x v="1"/>
    <x v="3"/>
    <n v="7.7"/>
    <n v="7.5"/>
    <x v="2"/>
    <n v="344"/>
  </r>
  <r>
    <x v="110"/>
    <s v="Adventure"/>
    <x v="2"/>
    <x v="4"/>
    <n v="7.7"/>
    <n v="9.8000000000000007"/>
    <x v="0"/>
    <n v="345"/>
  </r>
  <r>
    <x v="111"/>
    <s v="Action"/>
    <x v="2"/>
    <x v="4"/>
    <n v="7.7"/>
    <n v="16.100000000000001"/>
    <x v="0"/>
    <n v="346"/>
  </r>
  <r>
    <x v="102"/>
    <s v="Fantasy"/>
    <x v="2"/>
    <x v="5"/>
    <n v="7.7"/>
    <n v="5.8"/>
    <x v="3"/>
    <n v="347"/>
  </r>
  <r>
    <x v="112"/>
    <s v="Adventure"/>
    <x v="2"/>
    <x v="0"/>
    <n v="7.7"/>
    <n v="10.1"/>
    <x v="0"/>
    <n v="348"/>
  </r>
  <r>
    <x v="113"/>
    <s v="Action"/>
    <x v="2"/>
    <x v="0"/>
    <n v="7.7"/>
    <n v="12.6"/>
    <x v="0"/>
    <n v="349"/>
  </r>
  <r>
    <x v="93"/>
    <s v="Action"/>
    <x v="2"/>
    <x v="3"/>
    <n v="7.7"/>
    <n v="11.1"/>
    <x v="2"/>
    <n v="350"/>
  </r>
  <r>
    <x v="93"/>
    <s v="Action"/>
    <x v="2"/>
    <x v="3"/>
    <n v="7.7"/>
    <n v="6.8"/>
    <x v="3"/>
    <n v="351"/>
  </r>
  <r>
    <x v="103"/>
    <s v="Action"/>
    <x v="2"/>
    <x v="3"/>
    <n v="7.7"/>
    <n v="9.1"/>
    <x v="3"/>
    <n v="352"/>
  </r>
  <r>
    <x v="114"/>
    <s v="Comedy"/>
    <x v="3"/>
    <x v="4"/>
    <n v="7.6"/>
    <n v="9.3000000000000007"/>
    <x v="0"/>
    <n v="353"/>
  </r>
  <r>
    <x v="104"/>
    <s v="Drama"/>
    <x v="3"/>
    <x v="0"/>
    <n v="7.6"/>
    <n v="7.4"/>
    <x v="2"/>
    <n v="354"/>
  </r>
  <r>
    <x v="104"/>
    <s v="Drama"/>
    <x v="3"/>
    <x v="0"/>
    <n v="7.6"/>
    <n v="6.3"/>
    <x v="1"/>
    <n v="355"/>
  </r>
  <r>
    <x v="115"/>
    <s v="Sci-Fi"/>
    <x v="3"/>
    <x v="3"/>
    <n v="7.6"/>
    <n v="8"/>
    <x v="0"/>
    <n v="356"/>
  </r>
  <r>
    <x v="109"/>
    <s v="Adventure"/>
    <x v="0"/>
    <x v="4"/>
    <n v="7.6"/>
    <n v="5.4"/>
    <x v="1"/>
    <n v="357"/>
  </r>
  <r>
    <x v="96"/>
    <s v="Fantasy"/>
    <x v="0"/>
    <x v="5"/>
    <n v="7.6"/>
    <n v="5.5"/>
    <x v="3"/>
    <n v="358"/>
  </r>
  <r>
    <x v="99"/>
    <s v="Drama"/>
    <x v="1"/>
    <x v="4"/>
    <n v="7.6"/>
    <n v="6.4"/>
    <x v="2"/>
    <n v="359"/>
  </r>
  <r>
    <x v="116"/>
    <s v="Comedy"/>
    <x v="1"/>
    <x v="5"/>
    <n v="7.6"/>
    <n v="8.4"/>
    <x v="0"/>
    <n v="360"/>
  </r>
  <r>
    <x v="117"/>
    <s v="Comedy"/>
    <x v="1"/>
    <x v="3"/>
    <n v="7.6"/>
    <n v="7.9"/>
    <x v="0"/>
    <n v="361"/>
  </r>
  <r>
    <x v="117"/>
    <s v="Comedy"/>
    <x v="1"/>
    <x v="3"/>
    <n v="7.6"/>
    <n v="4.5"/>
    <x v="1"/>
    <n v="362"/>
  </r>
  <r>
    <x v="118"/>
    <s v="Action"/>
    <x v="1"/>
    <x v="2"/>
    <n v="7.6"/>
    <n v="8.4"/>
    <x v="0"/>
    <n v="363"/>
  </r>
  <r>
    <x v="119"/>
    <s v="Action"/>
    <x v="2"/>
    <x v="4"/>
    <n v="7.6"/>
    <n v="13.7"/>
    <x v="0"/>
    <n v="364"/>
  </r>
  <r>
    <x v="120"/>
    <s v="Adventure"/>
    <x v="2"/>
    <x v="4"/>
    <n v="7.6"/>
    <n v="12"/>
    <x v="0"/>
    <n v="365"/>
  </r>
  <r>
    <x v="107"/>
    <s v="Action"/>
    <x v="2"/>
    <x v="5"/>
    <n v="7.6"/>
    <n v="12.9"/>
    <x v="2"/>
    <n v="366"/>
  </r>
  <r>
    <x v="107"/>
    <s v="Action"/>
    <x v="2"/>
    <x v="5"/>
    <n v="7.6"/>
    <n v="8.5"/>
    <x v="3"/>
    <n v="367"/>
  </r>
  <r>
    <x v="113"/>
    <s v="Action"/>
    <x v="2"/>
    <x v="0"/>
    <n v="7.6"/>
    <n v="10.3"/>
    <x v="2"/>
    <n v="368"/>
  </r>
  <r>
    <x v="103"/>
    <s v="Action"/>
    <x v="2"/>
    <x v="3"/>
    <n v="7.6"/>
    <n v="12.1"/>
    <x v="2"/>
    <n v="369"/>
  </r>
  <r>
    <x v="94"/>
    <s v="Action"/>
    <x v="2"/>
    <x v="2"/>
    <n v="7.6"/>
    <n v="9.6"/>
    <x v="3"/>
    <n v="370"/>
  </r>
  <r>
    <x v="121"/>
    <s v="Adventure"/>
    <x v="3"/>
    <x v="4"/>
    <n v="7.5"/>
    <n v="8.1"/>
    <x v="0"/>
    <n v="371"/>
  </r>
  <r>
    <x v="108"/>
    <s v="Action"/>
    <x v="3"/>
    <x v="4"/>
    <n v="7.5"/>
    <n v="5.8"/>
    <x v="2"/>
    <n v="372"/>
  </r>
  <r>
    <x v="122"/>
    <s v="Action"/>
    <x v="3"/>
    <x v="5"/>
    <n v="7.5"/>
    <n v="10.7"/>
    <x v="0"/>
    <n v="373"/>
  </r>
  <r>
    <x v="116"/>
    <s v="Comedy"/>
    <x v="1"/>
    <x v="5"/>
    <n v="7.5"/>
    <n v="7.6"/>
    <x v="2"/>
    <n v="374"/>
  </r>
  <r>
    <x v="118"/>
    <s v="Action"/>
    <x v="1"/>
    <x v="2"/>
    <n v="7.5"/>
    <n v="4.8"/>
    <x v="1"/>
    <n v="375"/>
  </r>
  <r>
    <x v="110"/>
    <s v="Adventure"/>
    <x v="2"/>
    <x v="4"/>
    <n v="7.5"/>
    <n v="7.1"/>
    <x v="2"/>
    <n v="376"/>
  </r>
  <r>
    <x v="110"/>
    <s v="Adventure"/>
    <x v="2"/>
    <x v="4"/>
    <n v="7.5"/>
    <n v="6.3"/>
    <x v="1"/>
    <n v="377"/>
  </r>
  <r>
    <x v="111"/>
    <s v="Action"/>
    <x v="2"/>
    <x v="4"/>
    <n v="7.5"/>
    <n v="13.2"/>
    <x v="2"/>
    <n v="378"/>
  </r>
  <r>
    <x v="123"/>
    <s v="Fantasy"/>
    <x v="2"/>
    <x v="5"/>
    <n v="7.5"/>
    <n v="11.1"/>
    <x v="0"/>
    <n v="379"/>
  </r>
  <r>
    <x v="113"/>
    <s v="Action"/>
    <x v="2"/>
    <x v="0"/>
    <n v="7.5"/>
    <n v="7.2"/>
    <x v="3"/>
    <n v="380"/>
  </r>
  <r>
    <x v="124"/>
    <s v="Action"/>
    <x v="3"/>
    <x v="4"/>
    <n v="7.4"/>
    <n v="9.6"/>
    <x v="0"/>
    <n v="381"/>
  </r>
  <r>
    <x v="121"/>
    <s v="Adventure"/>
    <x v="3"/>
    <x v="4"/>
    <n v="7.4"/>
    <n v="5"/>
    <x v="1"/>
    <n v="382"/>
  </r>
  <r>
    <x v="114"/>
    <s v="Comedy"/>
    <x v="3"/>
    <x v="4"/>
    <n v="7.4"/>
    <n v="7.7"/>
    <x v="2"/>
    <n v="383"/>
  </r>
  <r>
    <x v="115"/>
    <s v="Sci-Fi"/>
    <x v="3"/>
    <x v="3"/>
    <n v="7.4"/>
    <n v="6.3"/>
    <x v="2"/>
    <n v="384"/>
  </r>
  <r>
    <x v="125"/>
    <s v="Action"/>
    <x v="1"/>
    <x v="3"/>
    <n v="7.4"/>
    <n v="5.2"/>
    <x v="1"/>
    <n v="385"/>
  </r>
  <r>
    <x v="117"/>
    <s v="Comedy"/>
    <x v="1"/>
    <x v="3"/>
    <n v="7.4"/>
    <n v="6.7"/>
    <x v="2"/>
    <n v="386"/>
  </r>
  <r>
    <x v="119"/>
    <s v="Action"/>
    <x v="2"/>
    <x v="4"/>
    <n v="7.4"/>
    <n v="10.4"/>
    <x v="2"/>
    <n v="387"/>
  </r>
  <r>
    <x v="119"/>
    <s v="Action"/>
    <x v="2"/>
    <x v="4"/>
    <n v="7.4"/>
    <n v="7"/>
    <x v="3"/>
    <n v="388"/>
  </r>
  <r>
    <x v="111"/>
    <s v="Action"/>
    <x v="2"/>
    <x v="4"/>
    <n v="7.4"/>
    <n v="9.4"/>
    <x v="3"/>
    <n v="389"/>
  </r>
  <r>
    <x v="108"/>
    <s v="Action"/>
    <x v="3"/>
    <x v="4"/>
    <n v="7.3"/>
    <n v="3.6"/>
    <x v="3"/>
    <n v="390"/>
  </r>
  <r>
    <x v="126"/>
    <s v="Action"/>
    <x v="3"/>
    <x v="5"/>
    <n v="7.3"/>
    <n v="5.3"/>
    <x v="1"/>
    <n v="391"/>
  </r>
  <r>
    <x v="116"/>
    <s v="Comedy"/>
    <x v="1"/>
    <x v="5"/>
    <n v="7.3"/>
    <n v="4.5"/>
    <x v="3"/>
    <n v="392"/>
  </r>
  <r>
    <x v="125"/>
    <s v="Action"/>
    <x v="1"/>
    <x v="3"/>
    <n v="7.3"/>
    <n v="8"/>
    <x v="0"/>
    <n v="393"/>
  </r>
  <r>
    <x v="118"/>
    <s v="Action"/>
    <x v="1"/>
    <x v="2"/>
    <n v="7.3"/>
    <n v="7.3"/>
    <x v="2"/>
    <n v="394"/>
  </r>
  <r>
    <x v="112"/>
    <s v="Adventure"/>
    <x v="2"/>
    <x v="0"/>
    <n v="7.3"/>
    <n v="8.5"/>
    <x v="2"/>
    <n v="395"/>
  </r>
  <r>
    <x v="127"/>
    <s v="Thriller"/>
    <x v="3"/>
    <x v="4"/>
    <n v="7.2"/>
    <n v="5.4"/>
    <x v="0"/>
    <n v="396"/>
  </r>
  <r>
    <x v="121"/>
    <s v="Adventure"/>
    <x v="3"/>
    <x v="4"/>
    <n v="7.2"/>
    <n v="6.7"/>
    <x v="2"/>
    <n v="397"/>
  </r>
  <r>
    <x v="114"/>
    <s v="Comedy"/>
    <x v="3"/>
    <x v="4"/>
    <n v="7.2"/>
    <n v="4.2"/>
    <x v="3"/>
    <n v="398"/>
  </r>
  <r>
    <x v="126"/>
    <s v="Action"/>
    <x v="3"/>
    <x v="5"/>
    <n v="7.2"/>
    <n v="7.5"/>
    <x v="0"/>
    <n v="399"/>
  </r>
  <r>
    <x v="126"/>
    <s v="Action"/>
    <x v="3"/>
    <x v="5"/>
    <n v="7.2"/>
    <n v="5.8"/>
    <x v="2"/>
    <n v="400"/>
  </r>
  <r>
    <x v="128"/>
    <s v="Action"/>
    <x v="1"/>
    <x v="3"/>
    <n v="7.2"/>
    <n v="6.4"/>
    <x v="0"/>
    <n v="401"/>
  </r>
  <r>
    <x v="125"/>
    <s v="Action"/>
    <x v="1"/>
    <x v="3"/>
    <n v="7.2"/>
    <n v="6.3"/>
    <x v="2"/>
    <n v="402"/>
  </r>
  <r>
    <x v="129"/>
    <s v="Action"/>
    <x v="1"/>
    <x v="2"/>
    <n v="7.2"/>
    <n v="7.6"/>
    <x v="0"/>
    <n v="403"/>
  </r>
  <r>
    <x v="129"/>
    <s v="Action"/>
    <x v="1"/>
    <x v="2"/>
    <n v="7.2"/>
    <n v="4.7"/>
    <x v="1"/>
    <n v="404"/>
  </r>
  <r>
    <x v="120"/>
    <s v="Adventure"/>
    <x v="2"/>
    <x v="4"/>
    <n v="7.2"/>
    <n v="9.1"/>
    <x v="2"/>
    <n v="405"/>
  </r>
  <r>
    <x v="120"/>
    <s v="Adventure"/>
    <x v="2"/>
    <x v="4"/>
    <n v="7.2"/>
    <n v="6.1"/>
    <x v="3"/>
    <n v="406"/>
  </r>
  <r>
    <x v="123"/>
    <s v="Fantasy"/>
    <x v="2"/>
    <x v="5"/>
    <n v="7.2"/>
    <n v="9"/>
    <x v="2"/>
    <n v="407"/>
  </r>
  <r>
    <x v="123"/>
    <s v="Fantasy"/>
    <x v="2"/>
    <x v="5"/>
    <n v="7.2"/>
    <n v="6"/>
    <x v="3"/>
    <n v="408"/>
  </r>
  <r>
    <x v="112"/>
    <s v="Adventure"/>
    <x v="2"/>
    <x v="0"/>
    <n v="7.2"/>
    <n v="5.6"/>
    <x v="3"/>
    <n v="409"/>
  </r>
  <r>
    <x v="130"/>
    <s v="Action"/>
    <x v="3"/>
    <x v="4"/>
    <n v="7.1"/>
    <n v="6"/>
    <x v="0"/>
    <n v="410"/>
  </r>
  <r>
    <x v="124"/>
    <s v="Action"/>
    <x v="3"/>
    <x v="4"/>
    <n v="7.1"/>
    <n v="8"/>
    <x v="2"/>
    <n v="411"/>
  </r>
  <r>
    <x v="122"/>
    <s v="Action"/>
    <x v="3"/>
    <x v="5"/>
    <n v="7.1"/>
    <n v="8.4"/>
    <x v="2"/>
    <n v="412"/>
  </r>
  <r>
    <x v="131"/>
    <s v="Action"/>
    <x v="1"/>
    <x v="0"/>
    <n v="7.1"/>
    <n v="5.0999999999999996"/>
    <x v="0"/>
    <n v="413"/>
  </r>
  <r>
    <x v="129"/>
    <s v="Action"/>
    <x v="1"/>
    <x v="2"/>
    <n v="7.1"/>
    <n v="5.2"/>
    <x v="2"/>
    <n v="414"/>
  </r>
  <r>
    <x v="132"/>
    <s v="Action"/>
    <x v="2"/>
    <x v="4"/>
    <n v="7.1"/>
    <n v="6.5"/>
    <x v="0"/>
    <n v="415"/>
  </r>
  <r>
    <x v="132"/>
    <s v="Action"/>
    <x v="2"/>
    <x v="4"/>
    <n v="7.1"/>
    <n v="4.8"/>
    <x v="2"/>
    <n v="416"/>
  </r>
  <r>
    <x v="124"/>
    <s v="Action"/>
    <x v="3"/>
    <x v="4"/>
    <n v="7"/>
    <n v="5.8"/>
    <x v="3"/>
    <n v="417"/>
  </r>
  <r>
    <x v="127"/>
    <s v="Thriller"/>
    <x v="3"/>
    <x v="4"/>
    <n v="7"/>
    <n v="4"/>
    <x v="2"/>
    <n v="418"/>
  </r>
  <r>
    <x v="121"/>
    <s v="Adventure"/>
    <x v="3"/>
    <x v="4"/>
    <n v="7"/>
    <n v="4.5999999999999996"/>
    <x v="3"/>
    <n v="419"/>
  </r>
  <r>
    <x v="133"/>
    <s v="Comedy"/>
    <x v="3"/>
    <x v="5"/>
    <n v="7"/>
    <n v="5"/>
    <x v="0"/>
    <n v="420"/>
  </r>
  <r>
    <x v="133"/>
    <s v="Comedy"/>
    <x v="3"/>
    <x v="5"/>
    <n v="7"/>
    <n v="3.7"/>
    <x v="1"/>
    <n v="421"/>
  </r>
  <r>
    <x v="122"/>
    <s v="Action"/>
    <x v="3"/>
    <x v="5"/>
    <n v="7"/>
    <n v="4.8"/>
    <x v="3"/>
    <n v="422"/>
  </r>
  <r>
    <x v="128"/>
    <s v="Action"/>
    <x v="1"/>
    <x v="3"/>
    <n v="7"/>
    <n v="3.3"/>
    <x v="1"/>
    <n v="423"/>
  </r>
  <r>
    <x v="134"/>
    <s v="Sci-Fi"/>
    <x v="3"/>
    <x v="4"/>
    <n v="6.9"/>
    <n v="6.6"/>
    <x v="0"/>
    <n v="424"/>
  </r>
  <r>
    <x v="134"/>
    <s v="Sci-Fi"/>
    <x v="3"/>
    <x v="4"/>
    <n v="6.9"/>
    <n v="3.3"/>
    <x v="1"/>
    <n v="425"/>
  </r>
  <r>
    <x v="135"/>
    <s v="Sci-Fi"/>
    <x v="3"/>
    <x v="5"/>
    <n v="6.9"/>
    <n v="6.7"/>
    <x v="0"/>
    <n v="426"/>
  </r>
  <r>
    <x v="136"/>
    <s v="Sci-Fi"/>
    <x v="3"/>
    <x v="5"/>
    <n v="6.9"/>
    <n v="5.3"/>
    <x v="0"/>
    <n v="427"/>
  </r>
  <r>
    <x v="130"/>
    <s v="Action"/>
    <x v="3"/>
    <x v="4"/>
    <n v="6.8"/>
    <n v="4.7"/>
    <x v="2"/>
    <n v="428"/>
  </r>
  <r>
    <x v="135"/>
    <s v="Sci-Fi"/>
    <x v="3"/>
    <x v="5"/>
    <n v="6.8"/>
    <n v="5.2"/>
    <x v="2"/>
    <n v="429"/>
  </r>
  <r>
    <x v="137"/>
    <s v="Fantasy"/>
    <x v="3"/>
    <x v="5"/>
    <n v="6.8"/>
    <n v="7"/>
    <x v="0"/>
    <n v="430"/>
  </r>
  <r>
    <x v="138"/>
    <s v="Fantasy"/>
    <x v="3"/>
    <x v="0"/>
    <n v="6.8"/>
    <n v="5.7"/>
    <x v="0"/>
    <n v="431"/>
  </r>
  <r>
    <x v="138"/>
    <s v="Fantasy"/>
    <x v="3"/>
    <x v="0"/>
    <n v="6.8"/>
    <n v="4.0999999999999996"/>
    <x v="2"/>
    <n v="432"/>
  </r>
  <r>
    <x v="131"/>
    <s v="Action"/>
    <x v="1"/>
    <x v="0"/>
    <n v="6.8"/>
    <n v="5"/>
    <x v="2"/>
    <n v="433"/>
  </r>
  <r>
    <x v="134"/>
    <s v="Sci-Fi"/>
    <x v="3"/>
    <x v="4"/>
    <n v="6.7"/>
    <n v="4.3"/>
    <x v="2"/>
    <n v="434"/>
  </r>
  <r>
    <x v="136"/>
    <s v="Sci-Fi"/>
    <x v="3"/>
    <x v="5"/>
    <n v="6.7"/>
    <n v="3.7"/>
    <x v="2"/>
    <n v="435"/>
  </r>
  <r>
    <x v="139"/>
    <s v="Sci-Fi"/>
    <x v="3"/>
    <x v="4"/>
    <n v="6.6"/>
    <n v="4.5999999999999996"/>
    <x v="0"/>
    <n v="436"/>
  </r>
  <r>
    <x v="139"/>
    <s v="Sci-Fi"/>
    <x v="3"/>
    <x v="4"/>
    <n v="6.6"/>
    <n v="3.1"/>
    <x v="2"/>
    <n v="437"/>
  </r>
  <r>
    <x v="137"/>
    <s v="Fantasy"/>
    <x v="3"/>
    <x v="5"/>
    <n v="6.6"/>
    <n v="5"/>
    <x v="2"/>
    <n v="438"/>
  </r>
  <r>
    <x v="140"/>
    <s v="Thriller"/>
    <x v="0"/>
    <x v="4"/>
    <n v="5.8"/>
    <n v="8.3000000000000007"/>
    <x v="0"/>
    <n v="441"/>
  </r>
  <r>
    <x v="140"/>
    <s v="Thriller"/>
    <x v="0"/>
    <x v="4"/>
    <n v="5.5"/>
    <n v="5.8"/>
    <x v="2"/>
    <n v="442"/>
  </r>
  <r>
    <x v="140"/>
    <s v="Thriller"/>
    <x v="0"/>
    <x v="4"/>
    <n v="5.4"/>
    <n v="4.5"/>
    <x v="3"/>
    <n v="4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B698F5-AC36-44FC-A3EC-FC0C4102915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0:B421" firstHeaderRow="1" firstDataRow="1" firstDataCol="1"/>
  <pivotFields count="7">
    <pivotField showAll="0" measureFilter="1" sortType="ascending">
      <items count="624">
        <item x="23"/>
        <item x="427"/>
        <item x="291"/>
        <item x="4"/>
        <item x="300"/>
        <item x="571"/>
        <item x="29"/>
        <item x="550"/>
        <item x="535"/>
        <item x="595"/>
        <item x="486"/>
        <item x="198"/>
        <item x="588"/>
        <item x="524"/>
        <item x="209"/>
        <item x="278"/>
        <item x="152"/>
        <item x="482"/>
        <item x="257"/>
        <item x="24"/>
        <item x="154"/>
        <item x="83"/>
        <item x="135"/>
        <item x="288"/>
        <item x="118"/>
        <item x="515"/>
        <item x="189"/>
        <item x="228"/>
        <item x="261"/>
        <item x="128"/>
        <item x="39"/>
        <item x="54"/>
        <item x="240"/>
        <item x="210"/>
        <item x="115"/>
        <item x="477"/>
        <item x="132"/>
        <item x="35"/>
        <item x="117"/>
        <item x="593"/>
        <item x="425"/>
        <item x="620"/>
        <item x="65"/>
        <item x="603"/>
        <item x="553"/>
        <item x="385"/>
        <item x="449"/>
        <item x="540"/>
        <item x="406"/>
        <item x="351"/>
        <item x="391"/>
        <item x="615"/>
        <item x="539"/>
        <item x="393"/>
        <item x="302"/>
        <item x="227"/>
        <item x="433"/>
        <item x="253"/>
        <item x="468"/>
        <item x="578"/>
        <item x="390"/>
        <item x="120"/>
        <item x="458"/>
        <item x="284"/>
        <item x="376"/>
        <item x="375"/>
        <item x="47"/>
        <item x="192"/>
        <item x="30"/>
        <item x="138"/>
        <item x="129"/>
        <item x="57"/>
        <item x="51"/>
        <item x="252"/>
        <item x="63"/>
        <item x="585"/>
        <item x="594"/>
        <item x="106"/>
        <item x="212"/>
        <item x="169"/>
        <item x="396"/>
        <item x="350"/>
        <item x="157"/>
        <item x="25"/>
        <item x="529"/>
        <item x="537"/>
        <item x="565"/>
        <item x="277"/>
        <item x="99"/>
        <item x="256"/>
        <item x="70"/>
        <item x="68"/>
        <item x="37"/>
        <item x="431"/>
        <item x="454"/>
        <item x="518"/>
        <item x="103"/>
        <item x="92"/>
        <item x="547"/>
        <item x="133"/>
        <item x="247"/>
        <item x="504"/>
        <item x="380"/>
        <item x="131"/>
        <item x="361"/>
        <item x="387"/>
        <item x="419"/>
        <item x="199"/>
        <item x="5"/>
        <item x="20"/>
        <item x="87"/>
        <item x="146"/>
        <item x="397"/>
        <item x="156"/>
        <item x="6"/>
        <item x="309"/>
        <item x="619"/>
        <item x="592"/>
        <item x="347"/>
        <item x="544"/>
        <item x="599"/>
        <item x="448"/>
        <item x="343"/>
        <item x="110"/>
        <item x="583"/>
        <item x="395"/>
        <item x="50"/>
        <item x="158"/>
        <item x="525"/>
        <item x="58"/>
        <item x="266"/>
        <item x="445"/>
        <item x="298"/>
        <item x="85"/>
        <item x="53"/>
        <item x="455"/>
        <item x="605"/>
        <item x="19"/>
        <item x="36"/>
        <item x="167"/>
        <item x="422"/>
        <item x="76"/>
        <item x="568"/>
        <item x="108"/>
        <item x="184"/>
        <item x="282"/>
        <item x="204"/>
        <item x="84"/>
        <item x="31"/>
        <item x="271"/>
        <item x="344"/>
        <item x="502"/>
        <item x="411"/>
        <item x="559"/>
        <item x="116"/>
        <item x="151"/>
        <item x="297"/>
        <item x="581"/>
        <item x="18"/>
        <item x="597"/>
        <item x="412"/>
        <item x="270"/>
        <item x="44"/>
        <item x="562"/>
        <item x="162"/>
        <item x="41"/>
        <item x="46"/>
        <item x="285"/>
        <item x="111"/>
        <item x="93"/>
        <item x="546"/>
        <item x="364"/>
        <item x="607"/>
        <item x="398"/>
        <item x="609"/>
        <item x="471"/>
        <item x="336"/>
        <item x="143"/>
        <item x="194"/>
        <item x="224"/>
        <item x="604"/>
        <item x="188"/>
        <item x="596"/>
        <item x="379"/>
        <item x="494"/>
        <item x="435"/>
        <item x="269"/>
        <item x="601"/>
        <item x="172"/>
        <item x="22"/>
        <item x="394"/>
        <item x="296"/>
        <item x="440"/>
        <item x="505"/>
        <item x="265"/>
        <item x="203"/>
        <item x="381"/>
        <item x="113"/>
        <item x="555"/>
        <item x="532"/>
        <item x="77"/>
        <item x="341"/>
        <item x="38"/>
        <item x="428"/>
        <item x="2"/>
        <item x="329"/>
        <item x="34"/>
        <item x="424"/>
        <item x="447"/>
        <item x="316"/>
        <item x="241"/>
        <item x="399"/>
        <item x="618"/>
        <item x="509"/>
        <item x="542"/>
        <item x="337"/>
        <item x="561"/>
        <item x="1"/>
        <item x="145"/>
        <item x="392"/>
        <item x="452"/>
        <item x="320"/>
        <item x="161"/>
        <item x="357"/>
        <item x="294"/>
        <item x="331"/>
        <item x="359"/>
        <item x="389"/>
        <item x="96"/>
        <item x="213"/>
        <item x="439"/>
        <item x="576"/>
        <item x="503"/>
        <item x="409"/>
        <item x="174"/>
        <item x="208"/>
        <item x="160"/>
        <item x="483"/>
        <item x="201"/>
        <item x="219"/>
        <item x="459"/>
        <item x="358"/>
        <item x="263"/>
        <item x="557"/>
        <item x="332"/>
        <item x="369"/>
        <item x="153"/>
        <item x="244"/>
        <item x="193"/>
        <item x="195"/>
        <item x="319"/>
        <item x="612"/>
        <item x="474"/>
        <item x="456"/>
        <item x="104"/>
        <item x="134"/>
        <item x="437"/>
        <item x="27"/>
        <item x="14"/>
        <item x="243"/>
        <item x="574"/>
        <item x="142"/>
        <item x="570"/>
        <item x="522"/>
        <item x="305"/>
        <item x="109"/>
        <item x="434"/>
        <item x="322"/>
        <item x="95"/>
        <item x="489"/>
        <item x="621"/>
        <item x="60"/>
        <item x="283"/>
        <item x="382"/>
        <item x="506"/>
        <item x="552"/>
        <item x="112"/>
        <item x="273"/>
        <item x="102"/>
        <item x="386"/>
        <item x="268"/>
        <item x="196"/>
        <item x="512"/>
        <item x="73"/>
        <item x="281"/>
        <item x="187"/>
        <item x="308"/>
        <item x="307"/>
        <item x="346"/>
        <item x="255"/>
        <item x="342"/>
        <item x="223"/>
        <item x="325"/>
        <item x="500"/>
        <item x="501"/>
        <item x="258"/>
        <item x="438"/>
        <item x="125"/>
        <item x="584"/>
        <item x="94"/>
        <item x="260"/>
        <item x="17"/>
        <item x="293"/>
        <item x="495"/>
        <item x="374"/>
        <item x="326"/>
        <item x="26"/>
        <item x="408"/>
        <item x="429"/>
        <item x="249"/>
        <item x="254"/>
        <item x="8"/>
        <item x="12"/>
        <item x="119"/>
        <item x="28"/>
        <item x="441"/>
        <item x="580"/>
        <item x="49"/>
        <item x="43"/>
        <item x="267"/>
        <item x="32"/>
        <item x="279"/>
        <item x="516"/>
        <item x="173"/>
        <item x="606"/>
        <item x="168"/>
        <item x="423"/>
        <item x="538"/>
        <item x="124"/>
        <item x="155"/>
        <item x="237"/>
        <item x="402"/>
        <item x="66"/>
        <item x="404"/>
        <item x="426"/>
        <item x="321"/>
        <item x="513"/>
        <item x="355"/>
        <item x="554"/>
        <item x="365"/>
        <item x="517"/>
        <item x="301"/>
        <item x="317"/>
        <item x="311"/>
        <item x="377"/>
        <item x="98"/>
        <item x="211"/>
        <item x="61"/>
        <item x="368"/>
        <item x="140"/>
        <item x="82"/>
        <item x="334"/>
        <item x="600"/>
        <item x="121"/>
        <item x="16"/>
        <item x="48"/>
        <item x="245"/>
        <item x="225"/>
        <item x="186"/>
        <item x="304"/>
        <item x="556"/>
        <item x="246"/>
        <item x="100"/>
        <item x="299"/>
        <item x="496"/>
        <item x="484"/>
        <item x="566"/>
        <item x="469"/>
        <item x="372"/>
        <item x="91"/>
        <item x="485"/>
        <item x="442"/>
        <item x="499"/>
        <item x="528"/>
        <item x="582"/>
        <item x="148"/>
        <item x="487"/>
        <item x="462"/>
        <item x="139"/>
        <item x="222"/>
        <item x="89"/>
        <item x="59"/>
        <item x="64"/>
        <item x="622"/>
        <item x="446"/>
        <item x="472"/>
        <item x="276"/>
        <item x="356"/>
        <item x="569"/>
        <item x="354"/>
        <item x="328"/>
        <item x="127"/>
        <item x="534"/>
        <item x="610"/>
        <item x="480"/>
        <item x="229"/>
        <item x="461"/>
        <item x="264"/>
        <item x="202"/>
        <item x="97"/>
        <item x="42"/>
        <item x="101"/>
        <item x="163"/>
        <item x="114"/>
        <item x="318"/>
        <item x="338"/>
        <item x="233"/>
        <item x="470"/>
        <item x="481"/>
        <item x="55"/>
        <item x="289"/>
        <item x="460"/>
        <item x="575"/>
        <item x="353"/>
        <item x="166"/>
        <item x="613"/>
        <item x="122"/>
        <item x="586"/>
        <item x="508"/>
        <item x="519"/>
        <item x="349"/>
        <item x="348"/>
        <item x="488"/>
        <item x="274"/>
        <item x="130"/>
        <item x="81"/>
        <item x="533"/>
        <item x="465"/>
        <item x="147"/>
        <item x="466"/>
        <item x="78"/>
        <item x="339"/>
        <item x="214"/>
        <item x="79"/>
        <item x="286"/>
        <item x="467"/>
        <item x="345"/>
        <item x="418"/>
        <item x="9"/>
        <item x="333"/>
        <item x="567"/>
        <item x="415"/>
        <item x="527"/>
        <item x="295"/>
        <item x="479"/>
        <item x="616"/>
        <item x="262"/>
        <item x="181"/>
        <item x="450"/>
        <item x="545"/>
        <item x="475"/>
        <item x="579"/>
        <item x="414"/>
        <item x="617"/>
        <item x="206"/>
        <item x="312"/>
        <item x="564"/>
        <item x="190"/>
        <item x="165"/>
        <item x="197"/>
        <item x="287"/>
        <item x="56"/>
        <item x="551"/>
        <item x="436"/>
        <item x="602"/>
        <item x="205"/>
        <item x="259"/>
        <item x="476"/>
        <item x="159"/>
        <item x="141"/>
        <item x="589"/>
        <item x="126"/>
        <item x="272"/>
        <item x="0"/>
        <item x="491"/>
        <item x="520"/>
        <item x="473"/>
        <item x="451"/>
        <item x="226"/>
        <item x="62"/>
        <item x="388"/>
        <item x="543"/>
        <item x="421"/>
        <item x="182"/>
        <item x="614"/>
        <item x="577"/>
        <item x="572"/>
        <item x="521"/>
        <item x="453"/>
        <item x="170"/>
        <item x="558"/>
        <item x="413"/>
        <item x="430"/>
        <item x="492"/>
        <item x="563"/>
        <item x="507"/>
        <item x="327"/>
        <item x="384"/>
        <item x="324"/>
        <item x="171"/>
        <item x="573"/>
        <item x="303"/>
        <item x="90"/>
        <item x="88"/>
        <item x="216"/>
        <item x="590"/>
        <item x="290"/>
        <item x="69"/>
        <item x="80"/>
        <item x="313"/>
        <item x="149"/>
        <item x="292"/>
        <item x="373"/>
        <item x="457"/>
        <item x="371"/>
        <item x="523"/>
        <item x="231"/>
        <item x="378"/>
        <item x="230"/>
        <item x="416"/>
        <item x="52"/>
        <item x="21"/>
        <item x="137"/>
        <item x="234"/>
        <item x="383"/>
        <item x="15"/>
        <item x="191"/>
        <item x="251"/>
        <item x="218"/>
        <item x="400"/>
        <item x="176"/>
        <item x="183"/>
        <item x="363"/>
        <item x="221"/>
        <item x="71"/>
        <item x="490"/>
        <item x="242"/>
        <item x="207"/>
        <item x="236"/>
        <item x="410"/>
        <item x="275"/>
        <item x="123"/>
        <item x="13"/>
        <item x="536"/>
        <item x="541"/>
        <item x="352"/>
        <item x="478"/>
        <item x="10"/>
        <item x="370"/>
        <item x="598"/>
        <item x="360"/>
        <item x="403"/>
        <item x="367"/>
        <item x="220"/>
        <item x="67"/>
        <item x="177"/>
        <item x="86"/>
        <item x="407"/>
        <item x="107"/>
        <item x="235"/>
        <item x="74"/>
        <item x="323"/>
        <item x="200"/>
        <item x="180"/>
        <item x="215"/>
        <item x="366"/>
        <item x="549"/>
        <item x="611"/>
        <item x="420"/>
        <item x="314"/>
        <item x="401"/>
        <item x="514"/>
        <item x="238"/>
        <item x="587"/>
        <item x="144"/>
        <item x="417"/>
        <item x="464"/>
        <item x="280"/>
        <item x="340"/>
        <item x="531"/>
        <item x="185"/>
        <item x="608"/>
        <item x="530"/>
        <item x="239"/>
        <item x="548"/>
        <item x="432"/>
        <item x="179"/>
        <item x="45"/>
        <item x="232"/>
        <item x="510"/>
        <item x="315"/>
        <item x="498"/>
        <item x="164"/>
        <item x="40"/>
        <item x="330"/>
        <item x="335"/>
        <item x="306"/>
        <item x="497"/>
        <item x="248"/>
        <item x="444"/>
        <item x="591"/>
        <item x="75"/>
        <item x="136"/>
        <item x="250"/>
        <item x="72"/>
        <item x="217"/>
        <item x="560"/>
        <item x="443"/>
        <item x="33"/>
        <item x="11"/>
        <item x="7"/>
        <item x="175"/>
        <item x="526"/>
        <item x="3"/>
        <item x="463"/>
        <item x="105"/>
        <item x="493"/>
        <item x="511"/>
        <item x="310"/>
        <item x="405"/>
        <item x="362"/>
        <item x="150"/>
        <item x="178"/>
        <item t="default"/>
      </items>
      <autoSortScope>
        <pivotArea dataOnly="0" outline="0" fieldPosition="0">
          <references count="1">
            <reference field="4294967294" count="1" selected="0">
              <x v="0"/>
            </reference>
          </references>
        </pivotArea>
      </autoSortScope>
    </pivotField>
    <pivotField showAll="0"/>
    <pivotField dataField="1" showAll="0">
      <items count="284">
        <item x="37"/>
        <item x="168"/>
        <item x="282"/>
        <item x="267"/>
        <item x="269"/>
        <item x="237"/>
        <item x="110"/>
        <item x="272"/>
        <item x="248"/>
        <item x="250"/>
        <item x="262"/>
        <item x="279"/>
        <item x="252"/>
        <item x="202"/>
        <item x="55"/>
        <item x="222"/>
        <item x="42"/>
        <item x="270"/>
        <item x="142"/>
        <item x="38"/>
        <item x="275"/>
        <item x="40"/>
        <item x="233"/>
        <item x="241"/>
        <item x="249"/>
        <item x="236"/>
        <item x="41"/>
        <item x="101"/>
        <item x="205"/>
        <item x="234"/>
        <item x="229"/>
        <item x="124"/>
        <item x="147"/>
        <item x="172"/>
        <item x="126"/>
        <item x="271"/>
        <item x="223"/>
        <item x="166"/>
        <item x="119"/>
        <item x="191"/>
        <item x="280"/>
        <item x="108"/>
        <item x="193"/>
        <item x="149"/>
        <item x="261"/>
        <item x="274"/>
        <item x="208"/>
        <item x="146"/>
        <item x="214"/>
        <item x="23"/>
        <item x="177"/>
        <item x="206"/>
        <item x="105"/>
        <item x="129"/>
        <item x="139"/>
        <item x="260"/>
        <item x="281"/>
        <item x="228"/>
        <item x="50"/>
        <item x="138"/>
        <item x="22"/>
        <item x="117"/>
        <item x="36"/>
        <item x="212"/>
        <item x="11"/>
        <item x="175"/>
        <item x="34"/>
        <item x="251"/>
        <item x="243"/>
        <item x="185"/>
        <item x="43"/>
        <item x="72"/>
        <item x="97"/>
        <item x="102"/>
        <item x="150"/>
        <item x="176"/>
        <item x="235"/>
        <item x="51"/>
        <item x="154"/>
        <item x="53"/>
        <item x="85"/>
        <item x="125"/>
        <item x="221"/>
        <item x="128"/>
        <item x="201"/>
        <item x="78"/>
        <item x="192"/>
        <item x="33"/>
        <item x="257"/>
        <item x="121"/>
        <item x="99"/>
        <item x="170"/>
        <item x="16"/>
        <item x="28"/>
        <item x="32"/>
        <item x="118"/>
        <item x="100"/>
        <item x="137"/>
        <item x="95"/>
        <item x="7"/>
        <item x="14"/>
        <item x="200"/>
        <item x="226"/>
        <item x="73"/>
        <item x="157"/>
        <item x="140"/>
        <item x="204"/>
        <item x="94"/>
        <item x="165"/>
        <item x="35"/>
        <item x="106"/>
        <item x="15"/>
        <item x="29"/>
        <item x="123"/>
        <item x="153"/>
        <item x="156"/>
        <item x="174"/>
        <item x="77"/>
        <item x="184"/>
        <item x="71"/>
        <item x="278"/>
        <item x="66"/>
        <item x="67"/>
        <item x="26"/>
        <item x="225"/>
        <item x="148"/>
        <item x="30"/>
        <item x="242"/>
        <item x="122"/>
        <item x="258"/>
        <item x="115"/>
        <item x="24"/>
        <item x="158"/>
        <item x="136"/>
        <item x="211"/>
        <item x="74"/>
        <item x="240"/>
        <item x="19"/>
        <item x="164"/>
        <item x="120"/>
        <item x="86"/>
        <item x="103"/>
        <item x="203"/>
        <item x="107"/>
        <item x="98"/>
        <item x="21"/>
        <item x="17"/>
        <item x="9"/>
        <item x="213"/>
        <item x="219"/>
        <item x="224"/>
        <item x="199"/>
        <item x="160"/>
        <item x="255"/>
        <item x="12"/>
        <item x="84"/>
        <item x="54"/>
        <item x="173"/>
        <item x="70"/>
        <item x="25"/>
        <item x="141"/>
        <item x="10"/>
        <item x="109"/>
        <item x="65"/>
        <item x="167"/>
        <item x="69"/>
        <item x="46"/>
        <item x="8"/>
        <item x="171"/>
        <item x="52"/>
        <item x="45"/>
        <item x="161"/>
        <item x="13"/>
        <item x="96"/>
        <item x="59"/>
        <item x="49"/>
        <item x="182"/>
        <item x="116"/>
        <item x="39"/>
        <item x="217"/>
        <item x="93"/>
        <item x="273"/>
        <item x="89"/>
        <item x="163"/>
        <item x="127"/>
        <item x="20"/>
        <item x="83"/>
        <item x="218"/>
        <item x="245"/>
        <item x="169"/>
        <item x="196"/>
        <item x="155"/>
        <item x="259"/>
        <item x="189"/>
        <item x="76"/>
        <item x="227"/>
        <item x="180"/>
        <item x="131"/>
        <item x="31"/>
        <item x="47"/>
        <item x="198"/>
        <item x="61"/>
        <item x="220"/>
        <item x="216"/>
        <item x="48"/>
        <item x="92"/>
        <item x="133"/>
        <item x="179"/>
        <item x="68"/>
        <item x="190"/>
        <item x="210"/>
        <item x="82"/>
        <item x="268"/>
        <item x="132"/>
        <item x="162"/>
        <item x="256"/>
        <item x="253"/>
        <item x="63"/>
        <item x="75"/>
        <item x="194"/>
        <item x="231"/>
        <item x="188"/>
        <item x="134"/>
        <item x="197"/>
        <item x="195"/>
        <item x="5"/>
        <item x="232"/>
        <item x="112"/>
        <item x="135"/>
        <item x="44"/>
        <item x="3"/>
        <item x="181"/>
        <item x="2"/>
        <item x="80"/>
        <item x="79"/>
        <item x="265"/>
        <item x="91"/>
        <item x="114"/>
        <item x="60"/>
        <item x="238"/>
        <item x="81"/>
        <item x="87"/>
        <item x="152"/>
        <item x="64"/>
        <item x="246"/>
        <item x="104"/>
        <item x="6"/>
        <item x="18"/>
        <item x="209"/>
        <item x="111"/>
        <item x="239"/>
        <item x="27"/>
        <item x="247"/>
        <item x="62"/>
        <item x="57"/>
        <item x="264"/>
        <item x="58"/>
        <item x="130"/>
        <item x="230"/>
        <item x="88"/>
        <item x="159"/>
        <item x="178"/>
        <item x="254"/>
        <item x="145"/>
        <item x="207"/>
        <item x="277"/>
        <item x="1"/>
        <item x="144"/>
        <item x="183"/>
        <item x="113"/>
        <item x="4"/>
        <item x="143"/>
        <item x="244"/>
        <item x="266"/>
        <item x="215"/>
        <item x="187"/>
        <item x="90"/>
        <item x="276"/>
        <item x="0"/>
        <item x="263"/>
        <item x="151"/>
        <item x="56"/>
        <item x="186"/>
        <item t="default"/>
      </items>
    </pivotField>
    <pivotField axis="axisRow" showAll="0">
      <items count="381">
        <item x="46"/>
        <item x="18"/>
        <item x="97"/>
        <item x="289"/>
        <item x="71"/>
        <item x="108"/>
        <item x="60"/>
        <item x="200"/>
        <item x="117"/>
        <item x="264"/>
        <item x="177"/>
        <item x="329"/>
        <item x="66"/>
        <item x="146"/>
        <item x="220"/>
        <item x="258"/>
        <item x="3"/>
        <item x="67"/>
        <item x="17"/>
        <item x="90"/>
        <item x="344"/>
        <item x="22"/>
        <item x="303"/>
        <item x="359"/>
        <item x="205"/>
        <item x="116"/>
        <item x="377"/>
        <item x="131"/>
        <item x="65"/>
        <item x="313"/>
        <item x="182"/>
        <item x="236"/>
        <item x="305"/>
        <item x="288"/>
        <item x="270"/>
        <item x="301"/>
        <item x="13"/>
        <item x="103"/>
        <item x="250"/>
        <item x="69"/>
        <item x="68"/>
        <item x="254"/>
        <item x="358"/>
        <item x="47"/>
        <item x="115"/>
        <item x="126"/>
        <item x="227"/>
        <item x="129"/>
        <item x="61"/>
        <item x="155"/>
        <item x="14"/>
        <item x="324"/>
        <item x="2"/>
        <item x="248"/>
        <item x="328"/>
        <item x="161"/>
        <item x="348"/>
        <item x="180"/>
        <item x="91"/>
        <item x="57"/>
        <item x="179"/>
        <item x="191"/>
        <item x="51"/>
        <item x="262"/>
        <item x="242"/>
        <item x="299"/>
        <item x="194"/>
        <item x="89"/>
        <item x="272"/>
        <item x="80"/>
        <item x="369"/>
        <item x="183"/>
        <item x="302"/>
        <item x="199"/>
        <item x="251"/>
        <item x="335"/>
        <item x="210"/>
        <item x="336"/>
        <item x="134"/>
        <item x="166"/>
        <item x="127"/>
        <item x="259"/>
        <item x="276"/>
        <item x="373"/>
        <item x="372"/>
        <item x="275"/>
        <item x="308"/>
        <item x="309"/>
        <item x="354"/>
        <item x="145"/>
        <item x="201"/>
        <item x="197"/>
        <item x="7"/>
        <item x="160"/>
        <item x="304"/>
        <item x="229"/>
        <item x="255"/>
        <item x="325"/>
        <item x="94"/>
        <item x="245"/>
        <item x="58"/>
        <item x="310"/>
        <item x="157"/>
        <item x="78"/>
        <item x="208"/>
        <item x="267"/>
        <item x="260"/>
        <item x="235"/>
        <item x="118"/>
        <item x="203"/>
        <item x="332"/>
        <item x="39"/>
        <item x="110"/>
        <item x="138"/>
        <item x="374"/>
        <item x="165"/>
        <item x="5"/>
        <item x="135"/>
        <item x="120"/>
        <item x="6"/>
        <item x="175"/>
        <item x="64"/>
        <item x="326"/>
        <item x="38"/>
        <item x="350"/>
        <item x="55"/>
        <item x="261"/>
        <item x="42"/>
        <item x="176"/>
        <item x="185"/>
        <item x="306"/>
        <item x="345"/>
        <item x="32"/>
        <item x="240"/>
        <item x="181"/>
        <item x="174"/>
        <item x="73"/>
        <item x="62"/>
        <item x="366"/>
        <item x="9"/>
        <item x="232"/>
        <item x="202"/>
        <item x="1"/>
        <item x="8"/>
        <item x="318"/>
        <item x="209"/>
        <item x="361"/>
        <item x="122"/>
        <item x="102"/>
        <item x="184"/>
        <item x="192"/>
        <item x="256"/>
        <item x="87"/>
        <item x="222"/>
        <item x="297"/>
        <item x="48"/>
        <item x="82"/>
        <item x="233"/>
        <item x="321"/>
        <item x="268"/>
        <item x="0"/>
        <item x="224"/>
        <item x="49"/>
        <item x="106"/>
        <item x="147"/>
        <item x="144"/>
        <item x="204"/>
        <item x="231"/>
        <item x="101"/>
        <item x="148"/>
        <item x="109"/>
        <item x="376"/>
        <item x="234"/>
        <item x="151"/>
        <item x="292"/>
        <item x="339"/>
        <item x="249"/>
        <item x="44"/>
        <item x="368"/>
        <item x="246"/>
        <item x="291"/>
        <item x="379"/>
        <item x="287"/>
        <item x="125"/>
        <item x="41"/>
        <item x="21"/>
        <item x="243"/>
        <item x="311"/>
        <item x="54"/>
        <item x="35"/>
        <item x="143"/>
        <item x="331"/>
        <item x="188"/>
        <item x="346"/>
        <item x="337"/>
        <item x="152"/>
        <item x="223"/>
        <item x="132"/>
        <item x="154"/>
        <item x="273"/>
        <item x="168"/>
        <item x="25"/>
        <item x="216"/>
        <item x="300"/>
        <item x="226"/>
        <item x="362"/>
        <item x="88"/>
        <item x="10"/>
        <item x="284"/>
        <item x="84"/>
        <item x="45"/>
        <item x="221"/>
        <item x="76"/>
        <item x="290"/>
        <item x="257"/>
        <item x="37"/>
        <item x="356"/>
        <item x="173"/>
        <item x="371"/>
        <item x="319"/>
        <item x="95"/>
        <item x="364"/>
        <item x="334"/>
        <item x="93"/>
        <item x="98"/>
        <item x="150"/>
        <item x="338"/>
        <item x="298"/>
        <item x="283"/>
        <item x="167"/>
        <item x="43"/>
        <item x="149"/>
        <item x="50"/>
        <item x="11"/>
        <item x="107"/>
        <item x="263"/>
        <item x="100"/>
        <item x="85"/>
        <item x="196"/>
        <item x="190"/>
        <item x="286"/>
        <item x="237"/>
        <item x="119"/>
        <item x="86"/>
        <item x="56"/>
        <item x="171"/>
        <item x="178"/>
        <item x="75"/>
        <item x="163"/>
        <item x="124"/>
        <item x="333"/>
        <item x="281"/>
        <item x="279"/>
        <item x="307"/>
        <item x="74"/>
        <item x="214"/>
        <item x="29"/>
        <item x="96"/>
        <item x="295"/>
        <item x="112"/>
        <item x="187"/>
        <item x="228"/>
        <item x="114"/>
        <item x="230"/>
        <item x="238"/>
        <item x="53"/>
        <item x="92"/>
        <item x="327"/>
        <item x="285"/>
        <item x="31"/>
        <item x="4"/>
        <item x="365"/>
        <item x="63"/>
        <item x="357"/>
        <item x="153"/>
        <item x="36"/>
        <item x="137"/>
        <item x="142"/>
        <item x="367"/>
        <item x="294"/>
        <item x="375"/>
        <item x="278"/>
        <item x="314"/>
        <item x="156"/>
        <item x="162"/>
        <item x="169"/>
        <item x="27"/>
        <item x="33"/>
        <item x="315"/>
        <item x="341"/>
        <item x="343"/>
        <item x="320"/>
        <item x="193"/>
        <item x="16"/>
        <item x="265"/>
        <item x="104"/>
        <item x="360"/>
        <item x="123"/>
        <item x="15"/>
        <item x="322"/>
        <item x="83"/>
        <item x="198"/>
        <item x="282"/>
        <item x="215"/>
        <item x="280"/>
        <item x="323"/>
        <item x="34"/>
        <item x="217"/>
        <item x="170"/>
        <item x="128"/>
        <item x="20"/>
        <item x="296"/>
        <item x="206"/>
        <item x="23"/>
        <item x="141"/>
        <item x="28"/>
        <item x="207"/>
        <item x="244"/>
        <item x="269"/>
        <item x="351"/>
        <item x="247"/>
        <item x="239"/>
        <item x="353"/>
        <item x="40"/>
        <item x="139"/>
        <item x="349"/>
        <item x="219"/>
        <item x="172"/>
        <item x="105"/>
        <item x="79"/>
        <item x="164"/>
        <item x="266"/>
        <item x="378"/>
        <item x="130"/>
        <item x="19"/>
        <item x="340"/>
        <item x="213"/>
        <item x="363"/>
        <item x="12"/>
        <item x="212"/>
        <item x="195"/>
        <item x="253"/>
        <item x="30"/>
        <item x="252"/>
        <item x="136"/>
        <item x="81"/>
        <item x="99"/>
        <item x="186"/>
        <item x="113"/>
        <item x="70"/>
        <item x="140"/>
        <item x="293"/>
        <item x="158"/>
        <item x="111"/>
        <item x="133"/>
        <item x="24"/>
        <item x="121"/>
        <item x="77"/>
        <item x="52"/>
        <item x="277"/>
        <item x="72"/>
        <item x="274"/>
        <item x="211"/>
        <item x="189"/>
        <item x="59"/>
        <item x="347"/>
        <item x="312"/>
        <item x="316"/>
        <item x="159"/>
        <item x="225"/>
        <item x="26"/>
        <item x="355"/>
        <item x="317"/>
        <item x="370"/>
        <item x="342"/>
        <item x="241"/>
        <item x="271"/>
        <item x="352"/>
        <item x="330"/>
        <item x="218"/>
        <item t="default"/>
      </items>
    </pivotField>
    <pivotField showAll="0"/>
    <pivotField multipleItemSelectionAllowed="1" showAll="0">
      <items count="7">
        <item x="5"/>
        <item x="4"/>
        <item x="3"/>
        <item x="2"/>
        <item x="1"/>
        <item x="0"/>
        <item t="default"/>
      </items>
    </pivotField>
    <pivotField showAll="0"/>
  </pivotFields>
  <rowFields count="1">
    <field x="3"/>
  </rowFields>
  <rowItems count="3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t="grand">
      <x/>
    </i>
  </rowItems>
  <colItems count="1">
    <i/>
  </colItems>
  <dataFields count="1">
    <dataField name="Average of Rating/Score" fld="2" subtotal="average" baseField="0" baseItem="74"/>
  </dataField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0C3097-2C6C-4EF4-8E35-EFDDA72243E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2:B35" firstHeaderRow="1" firstDataRow="1" firstDataCol="1"/>
  <pivotFields count="7">
    <pivotField axis="axisRow" showAll="0" measureFilter="1" sortType="ascending">
      <items count="624">
        <item x="23"/>
        <item x="427"/>
        <item x="291"/>
        <item x="4"/>
        <item x="300"/>
        <item x="571"/>
        <item x="29"/>
        <item x="550"/>
        <item x="535"/>
        <item x="595"/>
        <item x="486"/>
        <item x="198"/>
        <item x="588"/>
        <item x="524"/>
        <item x="209"/>
        <item x="278"/>
        <item x="152"/>
        <item x="482"/>
        <item x="257"/>
        <item x="24"/>
        <item x="154"/>
        <item x="83"/>
        <item x="135"/>
        <item x="288"/>
        <item x="118"/>
        <item x="515"/>
        <item x="189"/>
        <item x="228"/>
        <item x="261"/>
        <item x="128"/>
        <item x="39"/>
        <item x="54"/>
        <item x="240"/>
        <item x="210"/>
        <item x="115"/>
        <item x="477"/>
        <item x="132"/>
        <item x="35"/>
        <item x="117"/>
        <item x="593"/>
        <item x="425"/>
        <item x="620"/>
        <item x="65"/>
        <item x="603"/>
        <item x="553"/>
        <item x="385"/>
        <item x="449"/>
        <item x="540"/>
        <item x="406"/>
        <item x="351"/>
        <item x="391"/>
        <item x="615"/>
        <item x="539"/>
        <item x="393"/>
        <item x="302"/>
        <item x="227"/>
        <item x="433"/>
        <item x="253"/>
        <item x="468"/>
        <item x="578"/>
        <item x="390"/>
        <item x="120"/>
        <item x="458"/>
        <item x="284"/>
        <item x="376"/>
        <item x="375"/>
        <item x="47"/>
        <item x="192"/>
        <item x="30"/>
        <item x="138"/>
        <item x="129"/>
        <item x="57"/>
        <item x="51"/>
        <item x="252"/>
        <item x="63"/>
        <item x="585"/>
        <item x="594"/>
        <item x="106"/>
        <item x="212"/>
        <item x="169"/>
        <item x="396"/>
        <item x="350"/>
        <item x="157"/>
        <item x="25"/>
        <item x="529"/>
        <item x="537"/>
        <item x="565"/>
        <item x="277"/>
        <item x="99"/>
        <item x="256"/>
        <item x="70"/>
        <item x="68"/>
        <item x="37"/>
        <item x="431"/>
        <item x="454"/>
        <item x="518"/>
        <item x="103"/>
        <item x="92"/>
        <item x="547"/>
        <item x="133"/>
        <item x="247"/>
        <item x="504"/>
        <item x="380"/>
        <item x="131"/>
        <item x="361"/>
        <item x="387"/>
        <item x="419"/>
        <item x="199"/>
        <item x="5"/>
        <item x="20"/>
        <item x="87"/>
        <item x="146"/>
        <item x="397"/>
        <item x="156"/>
        <item x="6"/>
        <item x="309"/>
        <item x="619"/>
        <item x="592"/>
        <item x="347"/>
        <item x="544"/>
        <item x="599"/>
        <item x="448"/>
        <item x="343"/>
        <item x="110"/>
        <item x="583"/>
        <item x="395"/>
        <item x="50"/>
        <item x="158"/>
        <item x="525"/>
        <item x="58"/>
        <item x="266"/>
        <item x="445"/>
        <item x="298"/>
        <item x="85"/>
        <item x="53"/>
        <item x="455"/>
        <item x="605"/>
        <item x="19"/>
        <item x="36"/>
        <item x="167"/>
        <item x="422"/>
        <item x="76"/>
        <item x="568"/>
        <item x="108"/>
        <item x="184"/>
        <item x="282"/>
        <item x="204"/>
        <item x="84"/>
        <item x="31"/>
        <item x="271"/>
        <item x="344"/>
        <item x="502"/>
        <item x="411"/>
        <item x="559"/>
        <item x="116"/>
        <item x="151"/>
        <item x="297"/>
        <item x="581"/>
        <item x="18"/>
        <item x="597"/>
        <item x="412"/>
        <item x="270"/>
        <item x="44"/>
        <item x="562"/>
        <item x="162"/>
        <item x="41"/>
        <item x="46"/>
        <item x="285"/>
        <item x="111"/>
        <item x="93"/>
        <item x="546"/>
        <item x="364"/>
        <item x="607"/>
        <item x="398"/>
        <item x="609"/>
        <item x="471"/>
        <item x="336"/>
        <item x="143"/>
        <item x="194"/>
        <item x="224"/>
        <item x="604"/>
        <item x="188"/>
        <item x="596"/>
        <item x="379"/>
        <item x="494"/>
        <item x="435"/>
        <item x="269"/>
        <item x="601"/>
        <item x="172"/>
        <item x="22"/>
        <item x="394"/>
        <item x="296"/>
        <item x="440"/>
        <item x="505"/>
        <item x="265"/>
        <item x="203"/>
        <item x="381"/>
        <item x="113"/>
        <item x="555"/>
        <item x="532"/>
        <item x="77"/>
        <item x="341"/>
        <item x="38"/>
        <item x="428"/>
        <item x="2"/>
        <item x="329"/>
        <item x="34"/>
        <item x="424"/>
        <item x="447"/>
        <item x="316"/>
        <item x="241"/>
        <item x="399"/>
        <item x="618"/>
        <item x="509"/>
        <item x="542"/>
        <item x="337"/>
        <item x="561"/>
        <item x="1"/>
        <item x="145"/>
        <item x="392"/>
        <item x="452"/>
        <item x="320"/>
        <item x="161"/>
        <item x="357"/>
        <item x="294"/>
        <item x="331"/>
        <item x="359"/>
        <item x="389"/>
        <item x="96"/>
        <item x="213"/>
        <item x="439"/>
        <item x="576"/>
        <item x="503"/>
        <item x="409"/>
        <item x="174"/>
        <item x="208"/>
        <item x="160"/>
        <item x="483"/>
        <item x="201"/>
        <item x="219"/>
        <item x="459"/>
        <item x="358"/>
        <item x="263"/>
        <item x="557"/>
        <item x="332"/>
        <item x="369"/>
        <item x="153"/>
        <item x="244"/>
        <item x="193"/>
        <item x="195"/>
        <item x="319"/>
        <item x="612"/>
        <item x="474"/>
        <item x="456"/>
        <item x="104"/>
        <item x="134"/>
        <item x="437"/>
        <item x="27"/>
        <item x="14"/>
        <item x="243"/>
        <item x="574"/>
        <item x="142"/>
        <item x="570"/>
        <item x="522"/>
        <item x="305"/>
        <item x="109"/>
        <item x="434"/>
        <item x="322"/>
        <item x="95"/>
        <item x="489"/>
        <item x="621"/>
        <item x="60"/>
        <item x="283"/>
        <item x="382"/>
        <item x="506"/>
        <item x="552"/>
        <item x="112"/>
        <item x="273"/>
        <item x="102"/>
        <item x="386"/>
        <item x="268"/>
        <item x="196"/>
        <item x="512"/>
        <item x="73"/>
        <item x="281"/>
        <item x="187"/>
        <item x="308"/>
        <item x="307"/>
        <item x="346"/>
        <item x="255"/>
        <item x="342"/>
        <item x="223"/>
        <item x="325"/>
        <item x="500"/>
        <item x="501"/>
        <item x="258"/>
        <item x="438"/>
        <item x="125"/>
        <item x="584"/>
        <item x="94"/>
        <item x="260"/>
        <item x="17"/>
        <item x="293"/>
        <item x="495"/>
        <item x="374"/>
        <item x="326"/>
        <item x="26"/>
        <item x="408"/>
        <item x="429"/>
        <item x="249"/>
        <item x="254"/>
        <item x="8"/>
        <item x="12"/>
        <item x="119"/>
        <item x="28"/>
        <item x="441"/>
        <item x="580"/>
        <item x="49"/>
        <item x="43"/>
        <item x="267"/>
        <item x="32"/>
        <item x="279"/>
        <item x="516"/>
        <item x="173"/>
        <item x="606"/>
        <item x="168"/>
        <item x="423"/>
        <item x="538"/>
        <item x="124"/>
        <item x="155"/>
        <item x="237"/>
        <item x="402"/>
        <item x="66"/>
        <item x="404"/>
        <item x="426"/>
        <item x="321"/>
        <item x="513"/>
        <item x="355"/>
        <item x="554"/>
        <item x="365"/>
        <item x="517"/>
        <item x="301"/>
        <item x="317"/>
        <item x="311"/>
        <item x="377"/>
        <item x="98"/>
        <item x="211"/>
        <item x="61"/>
        <item x="368"/>
        <item x="140"/>
        <item x="82"/>
        <item x="334"/>
        <item x="600"/>
        <item x="121"/>
        <item x="16"/>
        <item x="48"/>
        <item x="245"/>
        <item x="225"/>
        <item x="186"/>
        <item x="304"/>
        <item x="556"/>
        <item x="246"/>
        <item x="100"/>
        <item x="299"/>
        <item x="496"/>
        <item x="484"/>
        <item x="566"/>
        <item x="469"/>
        <item x="372"/>
        <item x="91"/>
        <item x="485"/>
        <item x="442"/>
        <item x="499"/>
        <item x="528"/>
        <item x="582"/>
        <item x="148"/>
        <item x="487"/>
        <item x="462"/>
        <item x="139"/>
        <item x="222"/>
        <item x="89"/>
        <item x="59"/>
        <item x="64"/>
        <item x="622"/>
        <item x="446"/>
        <item x="472"/>
        <item x="276"/>
        <item x="356"/>
        <item x="569"/>
        <item x="354"/>
        <item x="328"/>
        <item x="127"/>
        <item x="534"/>
        <item x="610"/>
        <item x="480"/>
        <item x="229"/>
        <item x="461"/>
        <item x="264"/>
        <item x="202"/>
        <item x="97"/>
        <item x="42"/>
        <item x="101"/>
        <item x="163"/>
        <item x="114"/>
        <item x="318"/>
        <item x="338"/>
        <item x="233"/>
        <item x="470"/>
        <item x="481"/>
        <item x="55"/>
        <item x="289"/>
        <item x="460"/>
        <item x="575"/>
        <item x="353"/>
        <item x="166"/>
        <item x="613"/>
        <item x="122"/>
        <item x="586"/>
        <item x="508"/>
        <item x="519"/>
        <item x="349"/>
        <item x="348"/>
        <item x="488"/>
        <item x="274"/>
        <item x="130"/>
        <item x="81"/>
        <item x="533"/>
        <item x="465"/>
        <item x="147"/>
        <item x="466"/>
        <item x="78"/>
        <item x="339"/>
        <item x="214"/>
        <item x="79"/>
        <item x="286"/>
        <item x="467"/>
        <item x="345"/>
        <item x="418"/>
        <item x="9"/>
        <item x="333"/>
        <item x="567"/>
        <item x="415"/>
        <item x="527"/>
        <item x="295"/>
        <item x="479"/>
        <item x="616"/>
        <item x="262"/>
        <item x="181"/>
        <item x="450"/>
        <item x="545"/>
        <item x="475"/>
        <item x="579"/>
        <item x="414"/>
        <item x="617"/>
        <item x="206"/>
        <item x="312"/>
        <item x="564"/>
        <item x="190"/>
        <item x="165"/>
        <item x="197"/>
        <item x="287"/>
        <item x="56"/>
        <item x="551"/>
        <item x="436"/>
        <item x="602"/>
        <item x="205"/>
        <item x="259"/>
        <item x="476"/>
        <item x="159"/>
        <item x="141"/>
        <item x="589"/>
        <item x="126"/>
        <item x="272"/>
        <item x="0"/>
        <item x="491"/>
        <item x="520"/>
        <item x="473"/>
        <item x="451"/>
        <item x="226"/>
        <item x="62"/>
        <item x="388"/>
        <item x="543"/>
        <item x="421"/>
        <item x="182"/>
        <item x="614"/>
        <item x="577"/>
        <item x="572"/>
        <item x="521"/>
        <item x="453"/>
        <item x="170"/>
        <item x="558"/>
        <item x="413"/>
        <item x="430"/>
        <item x="492"/>
        <item x="563"/>
        <item x="507"/>
        <item x="327"/>
        <item x="384"/>
        <item x="324"/>
        <item x="171"/>
        <item x="573"/>
        <item x="303"/>
        <item x="90"/>
        <item x="88"/>
        <item x="216"/>
        <item x="590"/>
        <item x="290"/>
        <item x="69"/>
        <item x="80"/>
        <item x="313"/>
        <item x="149"/>
        <item x="292"/>
        <item x="373"/>
        <item x="457"/>
        <item x="371"/>
        <item x="523"/>
        <item x="231"/>
        <item x="378"/>
        <item x="230"/>
        <item x="416"/>
        <item x="52"/>
        <item x="21"/>
        <item x="137"/>
        <item x="234"/>
        <item x="383"/>
        <item x="15"/>
        <item x="191"/>
        <item x="251"/>
        <item x="218"/>
        <item x="400"/>
        <item x="176"/>
        <item x="183"/>
        <item x="363"/>
        <item x="221"/>
        <item x="71"/>
        <item x="490"/>
        <item x="242"/>
        <item x="207"/>
        <item x="236"/>
        <item x="410"/>
        <item x="275"/>
        <item x="123"/>
        <item x="13"/>
        <item x="536"/>
        <item x="541"/>
        <item x="352"/>
        <item x="478"/>
        <item x="10"/>
        <item x="370"/>
        <item x="598"/>
        <item x="360"/>
        <item x="403"/>
        <item x="367"/>
        <item x="220"/>
        <item x="67"/>
        <item x="177"/>
        <item x="86"/>
        <item x="407"/>
        <item x="107"/>
        <item x="235"/>
        <item x="74"/>
        <item x="323"/>
        <item x="200"/>
        <item x="180"/>
        <item x="215"/>
        <item x="366"/>
        <item x="549"/>
        <item x="611"/>
        <item x="420"/>
        <item x="314"/>
        <item x="401"/>
        <item x="514"/>
        <item x="238"/>
        <item x="587"/>
        <item x="144"/>
        <item x="417"/>
        <item x="464"/>
        <item x="280"/>
        <item x="340"/>
        <item x="531"/>
        <item x="185"/>
        <item x="608"/>
        <item x="530"/>
        <item x="239"/>
        <item x="548"/>
        <item x="432"/>
        <item x="179"/>
        <item x="45"/>
        <item x="232"/>
        <item x="510"/>
        <item x="315"/>
        <item x="498"/>
        <item x="164"/>
        <item x="40"/>
        <item x="330"/>
        <item x="335"/>
        <item x="306"/>
        <item x="497"/>
        <item x="248"/>
        <item x="444"/>
        <item x="591"/>
        <item x="75"/>
        <item x="136"/>
        <item x="250"/>
        <item x="72"/>
        <item x="217"/>
        <item x="560"/>
        <item x="443"/>
        <item x="33"/>
        <item x="11"/>
        <item x="7"/>
        <item x="175"/>
        <item x="526"/>
        <item x="3"/>
        <item x="463"/>
        <item x="105"/>
        <item x="493"/>
        <item x="511"/>
        <item x="310"/>
        <item x="405"/>
        <item x="362"/>
        <item x="150"/>
        <item x="178"/>
        <item t="default"/>
      </items>
      <autoSortScope>
        <pivotArea dataOnly="0" outline="0" fieldPosition="0">
          <references count="1">
            <reference field="4294967294" count="1" selected="0">
              <x v="0"/>
            </reference>
          </references>
        </pivotArea>
      </autoSortScope>
    </pivotField>
    <pivotField showAll="0"/>
    <pivotField dataField="1" showAll="0">
      <items count="284">
        <item x="37"/>
        <item x="168"/>
        <item x="282"/>
        <item x="267"/>
        <item x="269"/>
        <item x="237"/>
        <item x="110"/>
        <item x="272"/>
        <item x="248"/>
        <item x="250"/>
        <item x="262"/>
        <item x="279"/>
        <item x="252"/>
        <item x="202"/>
        <item x="55"/>
        <item x="222"/>
        <item x="42"/>
        <item x="270"/>
        <item x="142"/>
        <item x="38"/>
        <item x="275"/>
        <item x="40"/>
        <item x="233"/>
        <item x="241"/>
        <item x="249"/>
        <item x="236"/>
        <item x="41"/>
        <item x="101"/>
        <item x="205"/>
        <item x="234"/>
        <item x="229"/>
        <item x="124"/>
        <item x="147"/>
        <item x="172"/>
        <item x="126"/>
        <item x="271"/>
        <item x="223"/>
        <item x="166"/>
        <item x="119"/>
        <item x="191"/>
        <item x="280"/>
        <item x="108"/>
        <item x="193"/>
        <item x="149"/>
        <item x="261"/>
        <item x="274"/>
        <item x="208"/>
        <item x="146"/>
        <item x="214"/>
        <item x="23"/>
        <item x="177"/>
        <item x="206"/>
        <item x="105"/>
        <item x="129"/>
        <item x="139"/>
        <item x="260"/>
        <item x="281"/>
        <item x="228"/>
        <item x="50"/>
        <item x="138"/>
        <item x="22"/>
        <item x="117"/>
        <item x="36"/>
        <item x="212"/>
        <item x="11"/>
        <item x="175"/>
        <item x="34"/>
        <item x="251"/>
        <item x="243"/>
        <item x="185"/>
        <item x="43"/>
        <item x="72"/>
        <item x="97"/>
        <item x="102"/>
        <item x="150"/>
        <item x="176"/>
        <item x="235"/>
        <item x="51"/>
        <item x="154"/>
        <item x="53"/>
        <item x="85"/>
        <item x="125"/>
        <item x="221"/>
        <item x="128"/>
        <item x="201"/>
        <item x="78"/>
        <item x="192"/>
        <item x="33"/>
        <item x="257"/>
        <item x="121"/>
        <item x="99"/>
        <item x="170"/>
        <item x="16"/>
        <item x="28"/>
        <item x="32"/>
        <item x="118"/>
        <item x="100"/>
        <item x="137"/>
        <item x="95"/>
        <item x="7"/>
        <item x="14"/>
        <item x="200"/>
        <item x="226"/>
        <item x="73"/>
        <item x="157"/>
        <item x="140"/>
        <item x="204"/>
        <item x="94"/>
        <item x="165"/>
        <item x="35"/>
        <item x="106"/>
        <item x="15"/>
        <item x="29"/>
        <item x="123"/>
        <item x="153"/>
        <item x="156"/>
        <item x="174"/>
        <item x="77"/>
        <item x="184"/>
        <item x="71"/>
        <item x="278"/>
        <item x="66"/>
        <item x="67"/>
        <item x="26"/>
        <item x="225"/>
        <item x="148"/>
        <item x="30"/>
        <item x="242"/>
        <item x="122"/>
        <item x="258"/>
        <item x="115"/>
        <item x="24"/>
        <item x="158"/>
        <item x="136"/>
        <item x="211"/>
        <item x="74"/>
        <item x="240"/>
        <item x="19"/>
        <item x="164"/>
        <item x="120"/>
        <item x="86"/>
        <item x="103"/>
        <item x="203"/>
        <item x="107"/>
        <item x="98"/>
        <item x="21"/>
        <item x="17"/>
        <item x="9"/>
        <item x="213"/>
        <item x="219"/>
        <item x="224"/>
        <item x="199"/>
        <item x="160"/>
        <item x="255"/>
        <item x="12"/>
        <item x="84"/>
        <item x="54"/>
        <item x="173"/>
        <item x="70"/>
        <item x="25"/>
        <item x="141"/>
        <item x="10"/>
        <item x="109"/>
        <item x="65"/>
        <item x="167"/>
        <item x="69"/>
        <item x="46"/>
        <item x="8"/>
        <item x="171"/>
        <item x="52"/>
        <item x="45"/>
        <item x="161"/>
        <item x="13"/>
        <item x="96"/>
        <item x="59"/>
        <item x="49"/>
        <item x="182"/>
        <item x="116"/>
        <item x="39"/>
        <item x="217"/>
        <item x="93"/>
        <item x="273"/>
        <item x="89"/>
        <item x="163"/>
        <item x="127"/>
        <item x="20"/>
        <item x="83"/>
        <item x="218"/>
        <item x="245"/>
        <item x="169"/>
        <item x="196"/>
        <item x="155"/>
        <item x="259"/>
        <item x="189"/>
        <item x="76"/>
        <item x="227"/>
        <item x="180"/>
        <item x="131"/>
        <item x="31"/>
        <item x="47"/>
        <item x="198"/>
        <item x="61"/>
        <item x="220"/>
        <item x="216"/>
        <item x="48"/>
        <item x="92"/>
        <item x="133"/>
        <item x="179"/>
        <item x="68"/>
        <item x="190"/>
        <item x="210"/>
        <item x="82"/>
        <item x="268"/>
        <item x="132"/>
        <item x="162"/>
        <item x="256"/>
        <item x="253"/>
        <item x="63"/>
        <item x="75"/>
        <item x="194"/>
        <item x="231"/>
        <item x="188"/>
        <item x="134"/>
        <item x="197"/>
        <item x="195"/>
        <item x="5"/>
        <item x="232"/>
        <item x="112"/>
        <item x="135"/>
        <item x="44"/>
        <item x="3"/>
        <item x="181"/>
        <item x="2"/>
        <item x="80"/>
        <item x="79"/>
        <item x="265"/>
        <item x="91"/>
        <item x="114"/>
        <item x="60"/>
        <item x="238"/>
        <item x="81"/>
        <item x="87"/>
        <item x="152"/>
        <item x="64"/>
        <item x="246"/>
        <item x="104"/>
        <item x="6"/>
        <item x="18"/>
        <item x="209"/>
        <item x="111"/>
        <item x="239"/>
        <item x="27"/>
        <item x="247"/>
        <item x="62"/>
        <item x="57"/>
        <item x="264"/>
        <item x="58"/>
        <item x="130"/>
        <item x="230"/>
        <item x="88"/>
        <item x="159"/>
        <item x="178"/>
        <item x="254"/>
        <item x="145"/>
        <item x="207"/>
        <item x="277"/>
        <item x="1"/>
        <item x="144"/>
        <item x="183"/>
        <item x="113"/>
        <item x="4"/>
        <item x="143"/>
        <item x="244"/>
        <item x="266"/>
        <item x="215"/>
        <item x="187"/>
        <item x="90"/>
        <item x="276"/>
        <item x="0"/>
        <item x="263"/>
        <item x="151"/>
        <item x="56"/>
        <item x="186"/>
        <item t="default"/>
      </items>
    </pivotField>
    <pivotField axis="axisRow" showAll="0">
      <items count="381">
        <item x="60"/>
        <item x="46"/>
        <item x="18"/>
        <item x="97"/>
        <item x="289"/>
        <item x="71"/>
        <item x="108"/>
        <item x="200"/>
        <item x="117"/>
        <item x="264"/>
        <item x="177"/>
        <item x="329"/>
        <item x="66"/>
        <item x="146"/>
        <item x="220"/>
        <item x="258"/>
        <item x="3"/>
        <item x="67"/>
        <item x="17"/>
        <item x="90"/>
        <item x="344"/>
        <item x="22"/>
        <item x="303"/>
        <item x="359"/>
        <item x="205"/>
        <item x="116"/>
        <item x="377"/>
        <item x="131"/>
        <item x="65"/>
        <item x="313"/>
        <item x="182"/>
        <item x="236"/>
        <item x="305"/>
        <item x="288"/>
        <item x="270"/>
        <item x="301"/>
        <item x="13"/>
        <item x="103"/>
        <item x="250"/>
        <item x="69"/>
        <item x="68"/>
        <item x="254"/>
        <item x="358"/>
        <item x="47"/>
        <item x="115"/>
        <item x="126"/>
        <item x="227"/>
        <item x="129"/>
        <item x="61"/>
        <item x="155"/>
        <item x="14"/>
        <item x="324"/>
        <item x="2"/>
        <item x="248"/>
        <item x="328"/>
        <item x="161"/>
        <item x="348"/>
        <item x="180"/>
        <item x="91"/>
        <item x="57"/>
        <item x="179"/>
        <item x="191"/>
        <item x="51"/>
        <item x="262"/>
        <item x="242"/>
        <item x="299"/>
        <item x="194"/>
        <item x="89"/>
        <item x="272"/>
        <item x="80"/>
        <item x="369"/>
        <item x="183"/>
        <item x="302"/>
        <item x="199"/>
        <item x="251"/>
        <item x="335"/>
        <item x="210"/>
        <item x="336"/>
        <item x="134"/>
        <item x="166"/>
        <item x="127"/>
        <item x="259"/>
        <item x="276"/>
        <item x="373"/>
        <item x="372"/>
        <item x="275"/>
        <item x="308"/>
        <item x="309"/>
        <item x="354"/>
        <item x="145"/>
        <item x="201"/>
        <item x="197"/>
        <item x="7"/>
        <item x="160"/>
        <item x="304"/>
        <item x="229"/>
        <item x="255"/>
        <item x="325"/>
        <item x="94"/>
        <item x="245"/>
        <item x="58"/>
        <item x="310"/>
        <item x="157"/>
        <item x="78"/>
        <item x="208"/>
        <item x="267"/>
        <item x="260"/>
        <item x="235"/>
        <item x="118"/>
        <item x="203"/>
        <item x="332"/>
        <item x="39"/>
        <item x="110"/>
        <item x="138"/>
        <item x="374"/>
        <item x="165"/>
        <item x="5"/>
        <item x="135"/>
        <item x="120"/>
        <item x="6"/>
        <item x="175"/>
        <item x="64"/>
        <item x="326"/>
        <item x="38"/>
        <item x="350"/>
        <item x="55"/>
        <item x="261"/>
        <item x="42"/>
        <item x="176"/>
        <item x="185"/>
        <item x="306"/>
        <item x="345"/>
        <item x="32"/>
        <item x="240"/>
        <item x="181"/>
        <item x="174"/>
        <item x="73"/>
        <item x="62"/>
        <item x="366"/>
        <item x="9"/>
        <item x="232"/>
        <item x="202"/>
        <item x="1"/>
        <item x="8"/>
        <item x="318"/>
        <item x="209"/>
        <item x="361"/>
        <item x="122"/>
        <item x="102"/>
        <item x="184"/>
        <item x="192"/>
        <item x="256"/>
        <item x="87"/>
        <item x="222"/>
        <item x="297"/>
        <item x="48"/>
        <item x="82"/>
        <item x="233"/>
        <item x="321"/>
        <item x="268"/>
        <item x="0"/>
        <item x="224"/>
        <item x="49"/>
        <item x="106"/>
        <item x="147"/>
        <item x="144"/>
        <item x="204"/>
        <item x="231"/>
        <item x="101"/>
        <item x="148"/>
        <item x="109"/>
        <item x="376"/>
        <item x="234"/>
        <item x="151"/>
        <item x="292"/>
        <item x="339"/>
        <item x="249"/>
        <item x="44"/>
        <item x="368"/>
        <item x="246"/>
        <item x="291"/>
        <item x="379"/>
        <item x="287"/>
        <item x="125"/>
        <item x="41"/>
        <item x="21"/>
        <item x="243"/>
        <item x="311"/>
        <item x="54"/>
        <item x="35"/>
        <item x="143"/>
        <item x="331"/>
        <item x="188"/>
        <item x="346"/>
        <item x="337"/>
        <item x="152"/>
        <item x="223"/>
        <item x="132"/>
        <item x="154"/>
        <item x="273"/>
        <item x="168"/>
        <item x="25"/>
        <item x="216"/>
        <item x="300"/>
        <item x="226"/>
        <item x="362"/>
        <item x="88"/>
        <item x="10"/>
        <item x="284"/>
        <item x="84"/>
        <item x="45"/>
        <item x="221"/>
        <item x="76"/>
        <item x="290"/>
        <item x="257"/>
        <item x="37"/>
        <item x="356"/>
        <item x="173"/>
        <item x="371"/>
        <item x="319"/>
        <item x="95"/>
        <item x="364"/>
        <item x="334"/>
        <item x="93"/>
        <item x="98"/>
        <item x="150"/>
        <item x="338"/>
        <item x="298"/>
        <item x="283"/>
        <item x="167"/>
        <item x="43"/>
        <item x="149"/>
        <item x="50"/>
        <item x="11"/>
        <item x="107"/>
        <item x="263"/>
        <item x="100"/>
        <item x="85"/>
        <item x="196"/>
        <item x="190"/>
        <item x="286"/>
        <item x="237"/>
        <item x="119"/>
        <item x="86"/>
        <item x="56"/>
        <item x="171"/>
        <item x="178"/>
        <item x="75"/>
        <item x="163"/>
        <item x="124"/>
        <item x="333"/>
        <item x="281"/>
        <item x="279"/>
        <item x="307"/>
        <item x="74"/>
        <item x="214"/>
        <item x="29"/>
        <item x="96"/>
        <item x="295"/>
        <item x="112"/>
        <item x="187"/>
        <item x="228"/>
        <item x="114"/>
        <item x="230"/>
        <item x="238"/>
        <item x="53"/>
        <item x="92"/>
        <item x="327"/>
        <item x="285"/>
        <item x="31"/>
        <item x="4"/>
        <item x="365"/>
        <item x="63"/>
        <item x="357"/>
        <item x="153"/>
        <item x="36"/>
        <item x="137"/>
        <item x="142"/>
        <item x="367"/>
        <item x="294"/>
        <item x="375"/>
        <item x="278"/>
        <item x="314"/>
        <item x="156"/>
        <item x="162"/>
        <item x="169"/>
        <item x="27"/>
        <item x="33"/>
        <item x="315"/>
        <item x="341"/>
        <item x="343"/>
        <item x="320"/>
        <item x="193"/>
        <item x="16"/>
        <item x="265"/>
        <item x="104"/>
        <item x="360"/>
        <item x="123"/>
        <item x="15"/>
        <item x="322"/>
        <item x="83"/>
        <item x="198"/>
        <item x="282"/>
        <item x="215"/>
        <item x="280"/>
        <item x="323"/>
        <item x="34"/>
        <item x="217"/>
        <item x="170"/>
        <item x="128"/>
        <item x="20"/>
        <item x="296"/>
        <item x="206"/>
        <item x="23"/>
        <item x="141"/>
        <item x="28"/>
        <item x="207"/>
        <item x="244"/>
        <item x="269"/>
        <item x="351"/>
        <item x="247"/>
        <item x="239"/>
        <item x="353"/>
        <item x="40"/>
        <item x="139"/>
        <item x="349"/>
        <item x="219"/>
        <item x="172"/>
        <item x="105"/>
        <item x="79"/>
        <item x="164"/>
        <item x="266"/>
        <item x="378"/>
        <item x="130"/>
        <item x="19"/>
        <item x="340"/>
        <item x="213"/>
        <item x="363"/>
        <item x="12"/>
        <item x="212"/>
        <item x="195"/>
        <item x="253"/>
        <item x="30"/>
        <item x="252"/>
        <item x="136"/>
        <item x="81"/>
        <item x="99"/>
        <item x="186"/>
        <item x="113"/>
        <item x="70"/>
        <item x="140"/>
        <item x="293"/>
        <item x="158"/>
        <item x="111"/>
        <item x="133"/>
        <item x="24"/>
        <item x="121"/>
        <item x="77"/>
        <item x="52"/>
        <item x="277"/>
        <item x="72"/>
        <item x="274"/>
        <item x="211"/>
        <item x="189"/>
        <item x="59"/>
        <item x="347"/>
        <item x="312"/>
        <item x="316"/>
        <item x="159"/>
        <item x="225"/>
        <item x="26"/>
        <item x="355"/>
        <item x="317"/>
        <item x="370"/>
        <item x="342"/>
        <item x="241"/>
        <item x="271"/>
        <item x="352"/>
        <item x="330"/>
        <item x="218"/>
        <item t="default"/>
      </items>
    </pivotField>
    <pivotField showAll="0"/>
    <pivotField multipleItemSelectionAllowed="1" showAll="0">
      <items count="7">
        <item x="5"/>
        <item x="4"/>
        <item x="3"/>
        <item x="2"/>
        <item x="1"/>
        <item x="0"/>
        <item t="default"/>
      </items>
    </pivotField>
    <pivotField showAll="0"/>
  </pivotFields>
  <rowFields count="2">
    <field x="0"/>
    <field x="3"/>
  </rowFields>
  <rowItems count="3">
    <i>
      <x v="472"/>
    </i>
    <i r="1">
      <x v="145"/>
    </i>
    <i t="grand">
      <x/>
    </i>
  </rowItems>
  <colItems count="1">
    <i/>
  </colItems>
  <dataFields count="1">
    <dataField name="Average of Rating/Score" fld="2" subtotal="average" baseField="0" baseItem="74"/>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473"/>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AF858E-F541-4540-BC27-B0F24E9D5B8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1:A22" firstHeaderRow="1" firstDataRow="1" firstDataCol="0"/>
  <pivotFields count="7">
    <pivotField showAll="0" measureFilter="1" sortType="ascending">
      <items count="624">
        <item x="23"/>
        <item x="427"/>
        <item x="291"/>
        <item x="4"/>
        <item x="300"/>
        <item x="571"/>
        <item x="29"/>
        <item x="550"/>
        <item x="535"/>
        <item x="595"/>
        <item x="486"/>
        <item x="198"/>
        <item x="588"/>
        <item x="524"/>
        <item x="209"/>
        <item x="278"/>
        <item x="152"/>
        <item x="482"/>
        <item x="257"/>
        <item x="24"/>
        <item x="154"/>
        <item x="83"/>
        <item x="135"/>
        <item x="288"/>
        <item x="118"/>
        <item x="515"/>
        <item x="189"/>
        <item x="228"/>
        <item x="261"/>
        <item x="128"/>
        <item x="39"/>
        <item x="54"/>
        <item x="240"/>
        <item x="210"/>
        <item x="115"/>
        <item x="477"/>
        <item x="132"/>
        <item x="35"/>
        <item x="117"/>
        <item x="593"/>
        <item x="425"/>
        <item x="620"/>
        <item x="65"/>
        <item x="603"/>
        <item x="553"/>
        <item x="385"/>
        <item x="449"/>
        <item x="540"/>
        <item x="406"/>
        <item x="351"/>
        <item x="391"/>
        <item x="615"/>
        <item x="539"/>
        <item x="393"/>
        <item x="302"/>
        <item x="227"/>
        <item x="433"/>
        <item x="253"/>
        <item x="468"/>
        <item x="578"/>
        <item x="390"/>
        <item x="120"/>
        <item x="458"/>
        <item x="284"/>
        <item x="376"/>
        <item x="375"/>
        <item x="47"/>
        <item x="192"/>
        <item x="30"/>
        <item x="138"/>
        <item x="129"/>
        <item x="57"/>
        <item x="51"/>
        <item x="252"/>
        <item x="63"/>
        <item x="585"/>
        <item x="594"/>
        <item x="106"/>
        <item x="212"/>
        <item x="169"/>
        <item x="396"/>
        <item x="350"/>
        <item x="157"/>
        <item x="25"/>
        <item x="529"/>
        <item x="537"/>
        <item x="565"/>
        <item x="277"/>
        <item x="99"/>
        <item x="256"/>
        <item x="70"/>
        <item x="68"/>
        <item x="37"/>
        <item x="431"/>
        <item x="454"/>
        <item x="518"/>
        <item x="103"/>
        <item x="92"/>
        <item x="547"/>
        <item x="133"/>
        <item x="247"/>
        <item x="504"/>
        <item x="380"/>
        <item x="131"/>
        <item x="361"/>
        <item x="387"/>
        <item x="419"/>
        <item x="199"/>
        <item x="5"/>
        <item x="20"/>
        <item x="87"/>
        <item x="146"/>
        <item x="397"/>
        <item x="156"/>
        <item x="6"/>
        <item x="309"/>
        <item x="619"/>
        <item x="592"/>
        <item x="347"/>
        <item x="544"/>
        <item x="599"/>
        <item x="448"/>
        <item x="343"/>
        <item x="110"/>
        <item x="583"/>
        <item x="395"/>
        <item x="50"/>
        <item x="158"/>
        <item x="525"/>
        <item x="58"/>
        <item x="266"/>
        <item x="445"/>
        <item x="298"/>
        <item x="85"/>
        <item x="53"/>
        <item x="455"/>
        <item x="605"/>
        <item x="19"/>
        <item x="36"/>
        <item x="167"/>
        <item x="422"/>
        <item x="76"/>
        <item x="568"/>
        <item x="108"/>
        <item x="184"/>
        <item x="282"/>
        <item x="204"/>
        <item x="84"/>
        <item x="31"/>
        <item x="271"/>
        <item x="344"/>
        <item x="502"/>
        <item x="411"/>
        <item x="559"/>
        <item x="116"/>
        <item x="151"/>
        <item x="297"/>
        <item x="581"/>
        <item x="18"/>
        <item x="597"/>
        <item x="412"/>
        <item x="270"/>
        <item x="44"/>
        <item x="562"/>
        <item x="162"/>
        <item x="41"/>
        <item x="46"/>
        <item x="285"/>
        <item x="111"/>
        <item x="93"/>
        <item x="546"/>
        <item x="364"/>
        <item x="607"/>
        <item x="398"/>
        <item x="609"/>
        <item x="471"/>
        <item x="336"/>
        <item x="143"/>
        <item x="194"/>
        <item x="224"/>
        <item x="604"/>
        <item x="188"/>
        <item x="596"/>
        <item x="379"/>
        <item x="494"/>
        <item x="435"/>
        <item x="269"/>
        <item x="601"/>
        <item x="172"/>
        <item x="22"/>
        <item x="394"/>
        <item x="296"/>
        <item x="440"/>
        <item x="505"/>
        <item x="265"/>
        <item x="203"/>
        <item x="381"/>
        <item x="113"/>
        <item x="555"/>
        <item x="532"/>
        <item x="77"/>
        <item x="341"/>
        <item x="38"/>
        <item x="428"/>
        <item x="2"/>
        <item x="329"/>
        <item x="34"/>
        <item x="424"/>
        <item x="447"/>
        <item x="316"/>
        <item x="241"/>
        <item x="399"/>
        <item x="618"/>
        <item x="509"/>
        <item x="542"/>
        <item x="337"/>
        <item x="561"/>
        <item x="1"/>
        <item x="145"/>
        <item x="392"/>
        <item x="452"/>
        <item x="320"/>
        <item x="161"/>
        <item x="357"/>
        <item x="294"/>
        <item x="331"/>
        <item x="359"/>
        <item x="389"/>
        <item x="96"/>
        <item x="213"/>
        <item x="439"/>
        <item x="576"/>
        <item x="503"/>
        <item x="409"/>
        <item x="174"/>
        <item x="208"/>
        <item x="160"/>
        <item x="483"/>
        <item x="201"/>
        <item x="219"/>
        <item x="459"/>
        <item x="358"/>
        <item x="263"/>
        <item x="557"/>
        <item x="332"/>
        <item x="369"/>
        <item x="153"/>
        <item x="244"/>
        <item x="193"/>
        <item x="195"/>
        <item x="319"/>
        <item x="612"/>
        <item x="474"/>
        <item x="456"/>
        <item x="104"/>
        <item x="134"/>
        <item x="437"/>
        <item x="27"/>
        <item x="14"/>
        <item x="243"/>
        <item x="574"/>
        <item x="142"/>
        <item x="570"/>
        <item x="522"/>
        <item x="305"/>
        <item x="109"/>
        <item x="434"/>
        <item x="322"/>
        <item x="95"/>
        <item x="489"/>
        <item x="621"/>
        <item x="60"/>
        <item x="283"/>
        <item x="382"/>
        <item x="506"/>
        <item x="552"/>
        <item x="112"/>
        <item x="273"/>
        <item x="102"/>
        <item x="386"/>
        <item x="268"/>
        <item x="196"/>
        <item x="512"/>
        <item x="73"/>
        <item x="281"/>
        <item x="187"/>
        <item x="308"/>
        <item x="307"/>
        <item x="346"/>
        <item x="255"/>
        <item x="342"/>
        <item x="223"/>
        <item x="325"/>
        <item x="500"/>
        <item x="501"/>
        <item x="258"/>
        <item x="438"/>
        <item x="125"/>
        <item x="584"/>
        <item x="94"/>
        <item x="260"/>
        <item x="17"/>
        <item x="293"/>
        <item x="495"/>
        <item x="374"/>
        <item x="326"/>
        <item x="26"/>
        <item x="408"/>
        <item x="429"/>
        <item x="249"/>
        <item x="254"/>
        <item x="8"/>
        <item x="12"/>
        <item x="119"/>
        <item x="28"/>
        <item x="441"/>
        <item x="580"/>
        <item x="49"/>
        <item x="43"/>
        <item x="267"/>
        <item x="32"/>
        <item x="279"/>
        <item x="516"/>
        <item x="173"/>
        <item x="606"/>
        <item x="168"/>
        <item x="423"/>
        <item x="538"/>
        <item x="124"/>
        <item x="155"/>
        <item x="237"/>
        <item x="402"/>
        <item x="66"/>
        <item x="404"/>
        <item x="426"/>
        <item x="321"/>
        <item x="513"/>
        <item x="355"/>
        <item x="554"/>
        <item x="365"/>
        <item x="517"/>
        <item x="301"/>
        <item x="317"/>
        <item x="311"/>
        <item x="377"/>
        <item x="98"/>
        <item x="211"/>
        <item x="61"/>
        <item x="368"/>
        <item x="140"/>
        <item x="82"/>
        <item x="334"/>
        <item x="600"/>
        <item x="121"/>
        <item x="16"/>
        <item x="48"/>
        <item x="245"/>
        <item x="225"/>
        <item x="186"/>
        <item x="304"/>
        <item x="556"/>
        <item x="246"/>
        <item x="100"/>
        <item x="299"/>
        <item x="496"/>
        <item x="484"/>
        <item x="566"/>
        <item x="469"/>
        <item x="372"/>
        <item x="91"/>
        <item x="485"/>
        <item x="442"/>
        <item x="499"/>
        <item x="528"/>
        <item x="582"/>
        <item x="148"/>
        <item x="487"/>
        <item x="462"/>
        <item x="139"/>
        <item x="222"/>
        <item x="89"/>
        <item x="59"/>
        <item x="64"/>
        <item x="622"/>
        <item x="446"/>
        <item x="472"/>
        <item x="276"/>
        <item x="356"/>
        <item x="569"/>
        <item x="354"/>
        <item x="328"/>
        <item x="127"/>
        <item x="534"/>
        <item x="610"/>
        <item x="480"/>
        <item x="229"/>
        <item x="461"/>
        <item x="264"/>
        <item x="202"/>
        <item x="97"/>
        <item x="42"/>
        <item x="101"/>
        <item x="163"/>
        <item x="114"/>
        <item x="318"/>
        <item x="338"/>
        <item x="233"/>
        <item x="470"/>
        <item x="481"/>
        <item x="55"/>
        <item x="289"/>
        <item x="460"/>
        <item x="575"/>
        <item x="353"/>
        <item x="166"/>
        <item x="613"/>
        <item x="122"/>
        <item x="586"/>
        <item x="508"/>
        <item x="519"/>
        <item x="349"/>
        <item x="348"/>
        <item x="488"/>
        <item x="274"/>
        <item x="130"/>
        <item x="81"/>
        <item x="533"/>
        <item x="465"/>
        <item x="147"/>
        <item x="466"/>
        <item x="78"/>
        <item x="339"/>
        <item x="214"/>
        <item x="79"/>
        <item x="286"/>
        <item x="467"/>
        <item x="345"/>
        <item x="418"/>
        <item x="9"/>
        <item x="333"/>
        <item x="567"/>
        <item x="415"/>
        <item x="527"/>
        <item x="295"/>
        <item x="479"/>
        <item x="616"/>
        <item x="262"/>
        <item x="181"/>
        <item x="450"/>
        <item x="545"/>
        <item x="475"/>
        <item x="579"/>
        <item x="414"/>
        <item x="617"/>
        <item x="206"/>
        <item x="312"/>
        <item x="564"/>
        <item x="190"/>
        <item x="165"/>
        <item x="197"/>
        <item x="287"/>
        <item x="56"/>
        <item x="551"/>
        <item x="436"/>
        <item x="602"/>
        <item x="205"/>
        <item x="259"/>
        <item x="476"/>
        <item x="159"/>
        <item x="141"/>
        <item x="589"/>
        <item x="126"/>
        <item x="272"/>
        <item x="0"/>
        <item x="491"/>
        <item x="520"/>
        <item x="473"/>
        <item x="451"/>
        <item x="226"/>
        <item x="62"/>
        <item x="388"/>
        <item x="543"/>
        <item x="421"/>
        <item x="182"/>
        <item x="614"/>
        <item x="577"/>
        <item x="572"/>
        <item x="521"/>
        <item x="453"/>
        <item x="170"/>
        <item x="558"/>
        <item x="413"/>
        <item x="430"/>
        <item x="492"/>
        <item x="563"/>
        <item x="507"/>
        <item x="327"/>
        <item x="384"/>
        <item x="324"/>
        <item x="171"/>
        <item x="573"/>
        <item x="303"/>
        <item x="90"/>
        <item x="88"/>
        <item x="216"/>
        <item x="590"/>
        <item x="290"/>
        <item x="69"/>
        <item x="80"/>
        <item x="313"/>
        <item x="149"/>
        <item x="292"/>
        <item x="373"/>
        <item x="457"/>
        <item x="371"/>
        <item x="523"/>
        <item x="231"/>
        <item x="378"/>
        <item x="230"/>
        <item x="416"/>
        <item x="52"/>
        <item x="21"/>
        <item x="137"/>
        <item x="234"/>
        <item x="383"/>
        <item x="15"/>
        <item x="191"/>
        <item x="251"/>
        <item x="218"/>
        <item x="400"/>
        <item x="176"/>
        <item x="183"/>
        <item x="363"/>
        <item x="221"/>
        <item x="71"/>
        <item x="490"/>
        <item x="242"/>
        <item x="207"/>
        <item x="236"/>
        <item x="410"/>
        <item x="275"/>
        <item x="123"/>
        <item x="13"/>
        <item x="536"/>
        <item x="541"/>
        <item x="352"/>
        <item x="478"/>
        <item x="10"/>
        <item x="370"/>
        <item x="598"/>
        <item x="360"/>
        <item x="403"/>
        <item x="367"/>
        <item x="220"/>
        <item x="67"/>
        <item x="177"/>
        <item x="86"/>
        <item x="407"/>
        <item x="107"/>
        <item x="235"/>
        <item x="74"/>
        <item x="323"/>
        <item x="200"/>
        <item x="180"/>
        <item x="215"/>
        <item x="366"/>
        <item x="549"/>
        <item x="611"/>
        <item x="420"/>
        <item x="314"/>
        <item x="401"/>
        <item x="514"/>
        <item x="238"/>
        <item x="587"/>
        <item x="144"/>
        <item x="417"/>
        <item x="464"/>
        <item x="280"/>
        <item x="340"/>
        <item x="531"/>
        <item x="185"/>
        <item x="608"/>
        <item x="530"/>
        <item x="239"/>
        <item x="548"/>
        <item x="432"/>
        <item x="179"/>
        <item x="45"/>
        <item x="232"/>
        <item x="510"/>
        <item x="315"/>
        <item x="498"/>
        <item x="164"/>
        <item x="40"/>
        <item x="330"/>
        <item x="335"/>
        <item x="306"/>
        <item x="497"/>
        <item x="248"/>
        <item x="444"/>
        <item x="591"/>
        <item x="75"/>
        <item x="136"/>
        <item x="250"/>
        <item x="72"/>
        <item x="217"/>
        <item x="560"/>
        <item x="443"/>
        <item x="33"/>
        <item x="11"/>
        <item x="7"/>
        <item x="175"/>
        <item x="526"/>
        <item x="3"/>
        <item x="463"/>
        <item x="105"/>
        <item x="493"/>
        <item x="511"/>
        <item x="310"/>
        <item x="405"/>
        <item x="362"/>
        <item x="150"/>
        <item x="178"/>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7">
        <item x="5"/>
        <item x="4"/>
        <item x="3"/>
        <item x="2"/>
        <item x="1"/>
        <item x="0"/>
        <item t="default"/>
      </items>
    </pivotField>
    <pivotField showAll="0"/>
  </pivotFields>
  <rowItems count="1">
    <i/>
  </rowItems>
  <colItems count="1">
    <i/>
  </colItems>
  <dataFields count="1">
    <dataField name="Average of Rating/Score" fld="2" subtotal="average" baseField="0" baseItem="0" numFmtId="2"/>
  </dataField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542DDD-F835-4B90-BC81-466C0194EE8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7">
    <pivotField axis="axisRow" showAll="0" measureFilter="1" sortType="ascending">
      <items count="624">
        <item x="23"/>
        <item x="427"/>
        <item x="291"/>
        <item x="4"/>
        <item x="300"/>
        <item x="571"/>
        <item x="29"/>
        <item x="550"/>
        <item x="535"/>
        <item x="595"/>
        <item x="486"/>
        <item x="198"/>
        <item x="588"/>
        <item x="524"/>
        <item x="209"/>
        <item x="278"/>
        <item x="152"/>
        <item x="482"/>
        <item x="257"/>
        <item x="24"/>
        <item x="154"/>
        <item x="83"/>
        <item x="135"/>
        <item x="288"/>
        <item x="118"/>
        <item x="515"/>
        <item x="189"/>
        <item x="228"/>
        <item x="261"/>
        <item x="128"/>
        <item x="39"/>
        <item x="54"/>
        <item x="240"/>
        <item x="210"/>
        <item x="115"/>
        <item x="477"/>
        <item x="132"/>
        <item x="35"/>
        <item x="117"/>
        <item x="593"/>
        <item x="425"/>
        <item x="620"/>
        <item x="65"/>
        <item x="603"/>
        <item x="553"/>
        <item x="385"/>
        <item x="449"/>
        <item x="540"/>
        <item x="406"/>
        <item x="351"/>
        <item x="391"/>
        <item x="615"/>
        <item x="539"/>
        <item x="393"/>
        <item x="302"/>
        <item x="227"/>
        <item x="433"/>
        <item x="253"/>
        <item x="468"/>
        <item x="578"/>
        <item x="390"/>
        <item x="120"/>
        <item x="458"/>
        <item x="284"/>
        <item x="376"/>
        <item x="375"/>
        <item x="47"/>
        <item x="192"/>
        <item x="30"/>
        <item x="138"/>
        <item x="129"/>
        <item x="57"/>
        <item x="51"/>
        <item x="252"/>
        <item x="63"/>
        <item x="585"/>
        <item x="594"/>
        <item x="106"/>
        <item x="212"/>
        <item x="169"/>
        <item x="396"/>
        <item x="350"/>
        <item x="157"/>
        <item x="25"/>
        <item x="529"/>
        <item x="537"/>
        <item x="565"/>
        <item x="277"/>
        <item x="99"/>
        <item x="256"/>
        <item x="70"/>
        <item x="68"/>
        <item x="37"/>
        <item x="431"/>
        <item x="454"/>
        <item x="518"/>
        <item x="103"/>
        <item x="92"/>
        <item x="547"/>
        <item x="133"/>
        <item x="247"/>
        <item x="504"/>
        <item x="380"/>
        <item x="131"/>
        <item x="361"/>
        <item x="387"/>
        <item x="419"/>
        <item x="199"/>
        <item x="5"/>
        <item x="20"/>
        <item x="87"/>
        <item x="146"/>
        <item x="397"/>
        <item x="156"/>
        <item x="6"/>
        <item x="309"/>
        <item x="619"/>
        <item x="592"/>
        <item x="347"/>
        <item x="544"/>
        <item x="599"/>
        <item x="448"/>
        <item x="343"/>
        <item x="110"/>
        <item x="583"/>
        <item x="395"/>
        <item x="50"/>
        <item x="158"/>
        <item x="525"/>
        <item x="58"/>
        <item x="266"/>
        <item x="445"/>
        <item x="298"/>
        <item x="85"/>
        <item x="53"/>
        <item x="455"/>
        <item x="605"/>
        <item x="19"/>
        <item x="36"/>
        <item x="167"/>
        <item x="422"/>
        <item x="76"/>
        <item x="568"/>
        <item x="108"/>
        <item x="184"/>
        <item x="282"/>
        <item x="204"/>
        <item x="84"/>
        <item x="31"/>
        <item x="271"/>
        <item x="344"/>
        <item x="502"/>
        <item x="411"/>
        <item x="559"/>
        <item x="116"/>
        <item x="151"/>
        <item x="297"/>
        <item x="581"/>
        <item x="18"/>
        <item x="597"/>
        <item x="412"/>
        <item x="270"/>
        <item x="44"/>
        <item x="562"/>
        <item x="162"/>
        <item x="41"/>
        <item x="46"/>
        <item x="285"/>
        <item x="111"/>
        <item x="93"/>
        <item x="546"/>
        <item x="364"/>
        <item x="607"/>
        <item x="398"/>
        <item x="609"/>
        <item x="471"/>
        <item x="336"/>
        <item x="143"/>
        <item x="194"/>
        <item x="224"/>
        <item x="604"/>
        <item x="188"/>
        <item x="596"/>
        <item x="379"/>
        <item x="494"/>
        <item x="435"/>
        <item x="269"/>
        <item x="601"/>
        <item x="172"/>
        <item x="22"/>
        <item x="394"/>
        <item x="296"/>
        <item x="440"/>
        <item x="505"/>
        <item x="265"/>
        <item x="203"/>
        <item x="381"/>
        <item x="113"/>
        <item x="555"/>
        <item x="532"/>
        <item x="77"/>
        <item x="341"/>
        <item x="38"/>
        <item x="428"/>
        <item x="2"/>
        <item x="329"/>
        <item x="34"/>
        <item x="424"/>
        <item x="447"/>
        <item x="316"/>
        <item x="241"/>
        <item x="399"/>
        <item x="618"/>
        <item x="509"/>
        <item x="542"/>
        <item x="337"/>
        <item x="561"/>
        <item x="1"/>
        <item x="145"/>
        <item x="392"/>
        <item x="452"/>
        <item x="320"/>
        <item x="161"/>
        <item x="357"/>
        <item x="294"/>
        <item x="331"/>
        <item x="359"/>
        <item x="389"/>
        <item x="96"/>
        <item x="213"/>
        <item x="439"/>
        <item x="576"/>
        <item x="503"/>
        <item x="409"/>
        <item x="174"/>
        <item x="208"/>
        <item x="160"/>
        <item x="483"/>
        <item x="201"/>
        <item x="219"/>
        <item x="459"/>
        <item x="358"/>
        <item x="263"/>
        <item x="557"/>
        <item x="332"/>
        <item x="369"/>
        <item x="153"/>
        <item x="244"/>
        <item x="193"/>
        <item x="195"/>
        <item x="319"/>
        <item x="612"/>
        <item x="474"/>
        <item x="456"/>
        <item x="104"/>
        <item x="134"/>
        <item x="437"/>
        <item x="27"/>
        <item x="14"/>
        <item x="243"/>
        <item x="574"/>
        <item x="142"/>
        <item x="570"/>
        <item x="522"/>
        <item x="305"/>
        <item x="109"/>
        <item x="434"/>
        <item x="322"/>
        <item x="95"/>
        <item x="489"/>
        <item x="621"/>
        <item x="60"/>
        <item x="283"/>
        <item x="382"/>
        <item x="506"/>
        <item x="552"/>
        <item x="112"/>
        <item x="273"/>
        <item x="102"/>
        <item x="386"/>
        <item x="268"/>
        <item x="196"/>
        <item x="512"/>
        <item x="73"/>
        <item x="281"/>
        <item x="187"/>
        <item x="308"/>
        <item x="307"/>
        <item x="346"/>
        <item x="255"/>
        <item x="342"/>
        <item x="223"/>
        <item x="325"/>
        <item x="500"/>
        <item x="501"/>
        <item x="258"/>
        <item x="438"/>
        <item x="125"/>
        <item x="584"/>
        <item x="94"/>
        <item x="260"/>
        <item x="17"/>
        <item x="293"/>
        <item x="495"/>
        <item x="374"/>
        <item x="326"/>
        <item x="26"/>
        <item x="408"/>
        <item x="429"/>
        <item x="249"/>
        <item x="254"/>
        <item x="8"/>
        <item x="12"/>
        <item x="119"/>
        <item x="28"/>
        <item x="441"/>
        <item x="580"/>
        <item x="49"/>
        <item x="43"/>
        <item x="267"/>
        <item x="32"/>
        <item x="279"/>
        <item x="516"/>
        <item x="173"/>
        <item x="606"/>
        <item x="168"/>
        <item x="423"/>
        <item x="538"/>
        <item x="124"/>
        <item x="155"/>
        <item x="237"/>
        <item x="402"/>
        <item x="66"/>
        <item x="404"/>
        <item x="426"/>
        <item x="321"/>
        <item x="513"/>
        <item x="355"/>
        <item x="554"/>
        <item x="365"/>
        <item x="517"/>
        <item x="301"/>
        <item x="317"/>
        <item x="311"/>
        <item x="377"/>
        <item x="98"/>
        <item x="211"/>
        <item x="61"/>
        <item x="368"/>
        <item x="140"/>
        <item x="82"/>
        <item x="334"/>
        <item x="600"/>
        <item x="121"/>
        <item x="16"/>
        <item x="48"/>
        <item x="245"/>
        <item x="225"/>
        <item x="186"/>
        <item x="304"/>
        <item x="556"/>
        <item x="246"/>
        <item x="100"/>
        <item x="299"/>
        <item x="496"/>
        <item x="484"/>
        <item x="566"/>
        <item x="469"/>
        <item x="372"/>
        <item x="91"/>
        <item x="485"/>
        <item x="442"/>
        <item x="499"/>
        <item x="528"/>
        <item x="582"/>
        <item x="148"/>
        <item x="487"/>
        <item x="462"/>
        <item x="139"/>
        <item x="222"/>
        <item x="89"/>
        <item x="59"/>
        <item x="64"/>
        <item x="622"/>
        <item x="446"/>
        <item x="472"/>
        <item x="276"/>
        <item x="356"/>
        <item x="569"/>
        <item x="354"/>
        <item x="328"/>
        <item x="127"/>
        <item x="534"/>
        <item x="610"/>
        <item x="480"/>
        <item x="229"/>
        <item x="461"/>
        <item x="264"/>
        <item x="202"/>
        <item x="97"/>
        <item x="42"/>
        <item x="101"/>
        <item x="163"/>
        <item x="114"/>
        <item x="318"/>
        <item x="338"/>
        <item x="233"/>
        <item x="470"/>
        <item x="481"/>
        <item x="55"/>
        <item x="289"/>
        <item x="460"/>
        <item x="575"/>
        <item x="353"/>
        <item x="166"/>
        <item x="613"/>
        <item x="122"/>
        <item x="586"/>
        <item x="508"/>
        <item x="519"/>
        <item x="349"/>
        <item x="348"/>
        <item x="488"/>
        <item x="274"/>
        <item x="130"/>
        <item x="81"/>
        <item x="533"/>
        <item x="465"/>
        <item x="147"/>
        <item x="466"/>
        <item x="78"/>
        <item x="339"/>
        <item x="214"/>
        <item x="79"/>
        <item x="286"/>
        <item x="467"/>
        <item x="345"/>
        <item x="418"/>
        <item x="9"/>
        <item x="333"/>
        <item x="567"/>
        <item x="415"/>
        <item x="527"/>
        <item x="295"/>
        <item x="479"/>
        <item x="616"/>
        <item x="262"/>
        <item x="181"/>
        <item x="450"/>
        <item x="545"/>
        <item x="475"/>
        <item x="579"/>
        <item x="414"/>
        <item x="617"/>
        <item x="206"/>
        <item x="312"/>
        <item x="564"/>
        <item x="190"/>
        <item x="165"/>
        <item x="197"/>
        <item x="287"/>
        <item x="56"/>
        <item x="551"/>
        <item x="436"/>
        <item x="602"/>
        <item x="205"/>
        <item x="259"/>
        <item x="476"/>
        <item x="159"/>
        <item x="141"/>
        <item x="589"/>
        <item x="126"/>
        <item x="272"/>
        <item x="0"/>
        <item x="491"/>
        <item x="520"/>
        <item x="473"/>
        <item x="451"/>
        <item x="226"/>
        <item x="62"/>
        <item x="388"/>
        <item x="543"/>
        <item x="421"/>
        <item x="182"/>
        <item x="614"/>
        <item x="577"/>
        <item x="572"/>
        <item x="521"/>
        <item x="453"/>
        <item x="170"/>
        <item x="558"/>
        <item x="413"/>
        <item x="430"/>
        <item x="492"/>
        <item x="563"/>
        <item x="507"/>
        <item x="327"/>
        <item x="384"/>
        <item x="324"/>
        <item x="171"/>
        <item x="573"/>
        <item x="303"/>
        <item x="90"/>
        <item x="88"/>
        <item x="216"/>
        <item x="590"/>
        <item x="290"/>
        <item x="69"/>
        <item x="80"/>
        <item x="313"/>
        <item x="149"/>
        <item x="292"/>
        <item x="373"/>
        <item x="457"/>
        <item x="371"/>
        <item x="523"/>
        <item x="231"/>
        <item x="378"/>
        <item x="230"/>
        <item x="416"/>
        <item x="52"/>
        <item x="21"/>
        <item x="137"/>
        <item x="234"/>
        <item x="383"/>
        <item x="15"/>
        <item x="191"/>
        <item x="251"/>
        <item x="218"/>
        <item x="400"/>
        <item x="176"/>
        <item x="183"/>
        <item x="363"/>
        <item x="221"/>
        <item x="71"/>
        <item x="490"/>
        <item x="242"/>
        <item x="207"/>
        <item x="236"/>
        <item x="410"/>
        <item x="275"/>
        <item x="123"/>
        <item x="13"/>
        <item x="536"/>
        <item x="541"/>
        <item x="352"/>
        <item x="478"/>
        <item x="10"/>
        <item x="370"/>
        <item x="598"/>
        <item x="360"/>
        <item x="403"/>
        <item x="367"/>
        <item x="220"/>
        <item x="67"/>
        <item x="177"/>
        <item x="86"/>
        <item x="407"/>
        <item x="107"/>
        <item x="235"/>
        <item x="74"/>
        <item x="323"/>
        <item x="200"/>
        <item x="180"/>
        <item x="215"/>
        <item x="366"/>
        <item x="549"/>
        <item x="611"/>
        <item x="420"/>
        <item x="314"/>
        <item x="401"/>
        <item x="514"/>
        <item x="238"/>
        <item x="587"/>
        <item x="144"/>
        <item x="417"/>
        <item x="464"/>
        <item x="280"/>
        <item x="340"/>
        <item x="531"/>
        <item x="185"/>
        <item x="608"/>
        <item x="530"/>
        <item x="239"/>
        <item x="548"/>
        <item x="432"/>
        <item x="179"/>
        <item x="45"/>
        <item x="232"/>
        <item x="510"/>
        <item x="315"/>
        <item x="498"/>
        <item x="164"/>
        <item x="40"/>
        <item x="330"/>
        <item x="335"/>
        <item x="306"/>
        <item x="497"/>
        <item x="248"/>
        <item x="444"/>
        <item x="591"/>
        <item x="75"/>
        <item x="136"/>
        <item x="250"/>
        <item x="72"/>
        <item x="217"/>
        <item x="560"/>
        <item x="443"/>
        <item x="33"/>
        <item x="11"/>
        <item x="7"/>
        <item x="175"/>
        <item x="526"/>
        <item x="3"/>
        <item x="463"/>
        <item x="105"/>
        <item x="493"/>
        <item x="511"/>
        <item x="310"/>
        <item x="405"/>
        <item x="362"/>
        <item x="150"/>
        <item x="178"/>
        <item t="default"/>
      </items>
      <autoSortScope>
        <pivotArea dataOnly="0" outline="0" fieldPosition="0">
          <references count="1">
            <reference field="4294967294" count="1" selected="0">
              <x v="0"/>
            </reference>
          </references>
        </pivotArea>
      </autoSortScope>
    </pivotField>
    <pivotField showAll="0"/>
    <pivotField dataField="1" showAll="0">
      <items count="284">
        <item x="37"/>
        <item x="168"/>
        <item x="282"/>
        <item x="267"/>
        <item x="269"/>
        <item x="237"/>
        <item x="110"/>
        <item x="272"/>
        <item x="248"/>
        <item x="250"/>
        <item x="262"/>
        <item x="279"/>
        <item x="252"/>
        <item x="202"/>
        <item x="55"/>
        <item x="222"/>
        <item x="42"/>
        <item x="270"/>
        <item x="142"/>
        <item x="38"/>
        <item x="275"/>
        <item x="40"/>
        <item x="233"/>
        <item x="241"/>
        <item x="249"/>
        <item x="236"/>
        <item x="41"/>
        <item x="101"/>
        <item x="205"/>
        <item x="234"/>
        <item x="229"/>
        <item x="124"/>
        <item x="147"/>
        <item x="172"/>
        <item x="126"/>
        <item x="271"/>
        <item x="223"/>
        <item x="166"/>
        <item x="119"/>
        <item x="191"/>
        <item x="280"/>
        <item x="108"/>
        <item x="193"/>
        <item x="149"/>
        <item x="261"/>
        <item x="274"/>
        <item x="208"/>
        <item x="146"/>
        <item x="214"/>
        <item x="23"/>
        <item x="177"/>
        <item x="206"/>
        <item x="105"/>
        <item x="129"/>
        <item x="139"/>
        <item x="260"/>
        <item x="281"/>
        <item x="228"/>
        <item x="50"/>
        <item x="138"/>
        <item x="22"/>
        <item x="117"/>
        <item x="36"/>
        <item x="212"/>
        <item x="11"/>
        <item x="175"/>
        <item x="34"/>
        <item x="251"/>
        <item x="243"/>
        <item x="185"/>
        <item x="43"/>
        <item x="72"/>
        <item x="97"/>
        <item x="102"/>
        <item x="150"/>
        <item x="176"/>
        <item x="235"/>
        <item x="51"/>
        <item x="154"/>
        <item x="53"/>
        <item x="85"/>
        <item x="125"/>
        <item x="221"/>
        <item x="128"/>
        <item x="201"/>
        <item x="78"/>
        <item x="192"/>
        <item x="33"/>
        <item x="257"/>
        <item x="121"/>
        <item x="99"/>
        <item x="170"/>
        <item x="16"/>
        <item x="28"/>
        <item x="32"/>
        <item x="118"/>
        <item x="100"/>
        <item x="137"/>
        <item x="95"/>
        <item x="7"/>
        <item x="14"/>
        <item x="200"/>
        <item x="226"/>
        <item x="73"/>
        <item x="157"/>
        <item x="140"/>
        <item x="204"/>
        <item x="94"/>
        <item x="165"/>
        <item x="35"/>
        <item x="106"/>
        <item x="15"/>
        <item x="29"/>
        <item x="123"/>
        <item x="153"/>
        <item x="156"/>
        <item x="174"/>
        <item x="77"/>
        <item x="184"/>
        <item x="71"/>
        <item x="278"/>
        <item x="66"/>
        <item x="67"/>
        <item x="26"/>
        <item x="225"/>
        <item x="148"/>
        <item x="30"/>
        <item x="242"/>
        <item x="122"/>
        <item x="258"/>
        <item x="115"/>
        <item x="24"/>
        <item x="158"/>
        <item x="136"/>
        <item x="211"/>
        <item x="74"/>
        <item x="240"/>
        <item x="19"/>
        <item x="164"/>
        <item x="120"/>
        <item x="86"/>
        <item x="103"/>
        <item x="203"/>
        <item x="107"/>
        <item x="98"/>
        <item x="21"/>
        <item x="17"/>
        <item x="9"/>
        <item x="213"/>
        <item x="219"/>
        <item x="224"/>
        <item x="199"/>
        <item x="160"/>
        <item x="255"/>
        <item x="12"/>
        <item x="84"/>
        <item x="54"/>
        <item x="173"/>
        <item x="70"/>
        <item x="25"/>
        <item x="141"/>
        <item x="10"/>
        <item x="109"/>
        <item x="65"/>
        <item x="167"/>
        <item x="69"/>
        <item x="46"/>
        <item x="8"/>
        <item x="171"/>
        <item x="52"/>
        <item x="45"/>
        <item x="161"/>
        <item x="13"/>
        <item x="96"/>
        <item x="59"/>
        <item x="49"/>
        <item x="182"/>
        <item x="116"/>
        <item x="39"/>
        <item x="217"/>
        <item x="93"/>
        <item x="273"/>
        <item x="89"/>
        <item x="163"/>
        <item x="127"/>
        <item x="20"/>
        <item x="83"/>
        <item x="218"/>
        <item x="245"/>
        <item x="169"/>
        <item x="196"/>
        <item x="155"/>
        <item x="259"/>
        <item x="189"/>
        <item x="76"/>
        <item x="227"/>
        <item x="180"/>
        <item x="131"/>
        <item x="31"/>
        <item x="47"/>
        <item x="198"/>
        <item x="61"/>
        <item x="220"/>
        <item x="216"/>
        <item x="48"/>
        <item x="92"/>
        <item x="133"/>
        <item x="179"/>
        <item x="68"/>
        <item x="190"/>
        <item x="210"/>
        <item x="82"/>
        <item x="268"/>
        <item x="132"/>
        <item x="162"/>
        <item x="256"/>
        <item x="253"/>
        <item x="63"/>
        <item x="75"/>
        <item x="194"/>
        <item x="231"/>
        <item x="188"/>
        <item x="134"/>
        <item x="197"/>
        <item x="195"/>
        <item x="5"/>
        <item x="232"/>
        <item x="112"/>
        <item x="135"/>
        <item x="44"/>
        <item x="3"/>
        <item x="181"/>
        <item x="2"/>
        <item x="80"/>
        <item x="79"/>
        <item x="265"/>
        <item x="91"/>
        <item x="114"/>
        <item x="60"/>
        <item x="238"/>
        <item x="81"/>
        <item x="87"/>
        <item x="152"/>
        <item x="64"/>
        <item x="246"/>
        <item x="104"/>
        <item x="6"/>
        <item x="18"/>
        <item x="209"/>
        <item x="111"/>
        <item x="239"/>
        <item x="27"/>
        <item x="247"/>
        <item x="62"/>
        <item x="57"/>
        <item x="264"/>
        <item x="58"/>
        <item x="130"/>
        <item x="230"/>
        <item x="88"/>
        <item x="159"/>
        <item x="178"/>
        <item x="254"/>
        <item x="145"/>
        <item x="207"/>
        <item x="277"/>
        <item x="1"/>
        <item x="144"/>
        <item x="183"/>
        <item x="113"/>
        <item x="4"/>
        <item x="143"/>
        <item x="244"/>
        <item x="266"/>
        <item x="215"/>
        <item x="187"/>
        <item x="90"/>
        <item x="276"/>
        <item x="0"/>
        <item x="263"/>
        <item x="151"/>
        <item x="56"/>
        <item x="186"/>
        <item t="default"/>
      </items>
    </pivotField>
    <pivotField showAll="0"/>
    <pivotField showAll="0"/>
    <pivotField multipleItemSelectionAllowed="1" showAll="0">
      <items count="7">
        <item x="5"/>
        <item x="4"/>
        <item x="3"/>
        <item x="2"/>
        <item x="1"/>
        <item x="0"/>
        <item t="default"/>
      </items>
    </pivotField>
    <pivotField showAll="0"/>
  </pivotFields>
  <rowFields count="1">
    <field x="0"/>
  </rowFields>
  <rowItems count="11">
    <i>
      <x v="449"/>
    </i>
    <i>
      <x v="548"/>
    </i>
    <i>
      <x v="277"/>
    </i>
    <i>
      <x v="278"/>
    </i>
    <i>
      <x v="120"/>
    </i>
    <i>
      <x v="473"/>
    </i>
    <i>
      <x v="47"/>
    </i>
    <i>
      <x v="67"/>
    </i>
    <i>
      <x v="479"/>
    </i>
    <i>
      <x v="472"/>
    </i>
    <i t="grand">
      <x/>
    </i>
  </rowItems>
  <colItems count="1">
    <i/>
  </colItems>
  <dataFields count="1">
    <dataField name="Average of Rating/Score" fld="2" subtotal="average" baseField="0" baseItem="74"/>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473"/>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244A7B-3A4E-4499-9CA4-FADED431158B}"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1:A92" firstHeaderRow="1" firstDataRow="1" firstDataCol="0"/>
  <pivotFields count="8">
    <pivotField dataField="1" showAll="0">
      <items count="142">
        <item x="64"/>
        <item x="32"/>
        <item x="10"/>
        <item x="7"/>
        <item x="1"/>
        <item x="108"/>
        <item x="138"/>
        <item x="137"/>
        <item x="104"/>
        <item x="105"/>
        <item x="93"/>
        <item x="119"/>
        <item x="134"/>
        <item x="5"/>
        <item x="18"/>
        <item x="21"/>
        <item x="9"/>
        <item x="69"/>
        <item x="27"/>
        <item x="68"/>
        <item x="31"/>
        <item x="125"/>
        <item x="128"/>
        <item x="46"/>
        <item x="118"/>
        <item x="43"/>
        <item x="52"/>
        <item x="28"/>
        <item x="13"/>
        <item x="34"/>
        <item x="11"/>
        <item x="110"/>
        <item x="77"/>
        <item x="75"/>
        <item x="103"/>
        <item x="91"/>
        <item x="107"/>
        <item x="94"/>
        <item x="81"/>
        <item x="109"/>
        <item x="35"/>
        <item x="139"/>
        <item x="136"/>
        <item x="120"/>
        <item x="112"/>
        <item x="17"/>
        <item x="6"/>
        <item x="0"/>
        <item x="70"/>
        <item x="97"/>
        <item x="80"/>
        <item x="15"/>
        <item x="8"/>
        <item x="79"/>
        <item x="59"/>
        <item x="85"/>
        <item x="44"/>
        <item x="74"/>
        <item x="2"/>
        <item x="45"/>
        <item x="23"/>
        <item x="4"/>
        <item x="30"/>
        <item x="88"/>
        <item x="95"/>
        <item x="56"/>
        <item x="73"/>
        <item x="101"/>
        <item x="67"/>
        <item x="40"/>
        <item x="90"/>
        <item x="58"/>
        <item x="55"/>
        <item x="82"/>
        <item x="62"/>
        <item x="111"/>
        <item x="86"/>
        <item x="72"/>
        <item x="39"/>
        <item x="26"/>
        <item x="57"/>
        <item x="16"/>
        <item x="22"/>
        <item x="50"/>
        <item x="41"/>
        <item x="25"/>
        <item x="33"/>
        <item x="38"/>
        <item x="29"/>
        <item x="96"/>
        <item x="102"/>
        <item x="135"/>
        <item x="117"/>
        <item x="63"/>
        <item x="37"/>
        <item x="83"/>
        <item x="42"/>
        <item x="124"/>
        <item x="122"/>
        <item x="92"/>
        <item x="51"/>
        <item x="53"/>
        <item x="129"/>
        <item x="98"/>
        <item x="61"/>
        <item x="121"/>
        <item x="76"/>
        <item x="49"/>
        <item x="54"/>
        <item x="84"/>
        <item x="60"/>
        <item x="48"/>
        <item x="19"/>
        <item x="126"/>
        <item x="66"/>
        <item x="89"/>
        <item x="47"/>
        <item x="132"/>
        <item x="123"/>
        <item x="115"/>
        <item x="131"/>
        <item x="140"/>
        <item x="114"/>
        <item x="133"/>
        <item x="65"/>
        <item x="113"/>
        <item x="116"/>
        <item x="127"/>
        <item x="87"/>
        <item x="106"/>
        <item x="71"/>
        <item x="36"/>
        <item x="24"/>
        <item x="20"/>
        <item x="12"/>
        <item x="14"/>
        <item x="3"/>
        <item x="99"/>
        <item x="130"/>
        <item x="100"/>
        <item x="78"/>
        <item t="default"/>
      </items>
    </pivotField>
    <pivotField showAll="0">
      <items count="12">
        <item x="1"/>
        <item x="5"/>
        <item x="9"/>
        <item x="6"/>
        <item x="0"/>
        <item x="2"/>
        <item x="3"/>
        <item x="8"/>
        <item x="7"/>
        <item x="4"/>
        <item x="10"/>
        <item t="default"/>
      </items>
    </pivotField>
    <pivotField showAll="0">
      <items count="5">
        <item x="1"/>
        <item x="0"/>
        <item x="2"/>
        <item x="3"/>
        <item t="default"/>
      </items>
    </pivotField>
    <pivotField showAll="0">
      <items count="7">
        <item x="4"/>
        <item x="5"/>
        <item x="0"/>
        <item x="3"/>
        <item x="2"/>
        <item x="1"/>
        <item t="default"/>
      </items>
    </pivotField>
    <pivotField showAll="0"/>
    <pivotField showAll="0"/>
    <pivotField showAll="0">
      <items count="5">
        <item x="0"/>
        <item x="3"/>
        <item x="1"/>
        <item x="2"/>
        <item t="default"/>
      </items>
    </pivotField>
    <pivotField showAll="0"/>
  </pivotFields>
  <rowItems count="1">
    <i/>
  </rowItems>
  <colItems count="1">
    <i/>
  </colItems>
  <dataFields count="1">
    <dataField name="Count of Anime Titl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EA71B8-8702-4A5F-8CE2-DB7C80B9C302}"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5:B40" firstHeaderRow="1" firstDataRow="1" firstDataCol="1"/>
  <pivotFields count="8">
    <pivotField showAll="0"/>
    <pivotField showAll="0">
      <items count="12">
        <item x="1"/>
        <item x="5"/>
        <item x="9"/>
        <item x="6"/>
        <item x="0"/>
        <item x="2"/>
        <item x="3"/>
        <item x="8"/>
        <item x="7"/>
        <item x="4"/>
        <item x="10"/>
        <item t="default"/>
      </items>
    </pivotField>
    <pivotField showAll="0">
      <items count="5">
        <item x="1"/>
        <item x="0"/>
        <item x="2"/>
        <item x="3"/>
        <item t="default"/>
      </items>
    </pivotField>
    <pivotField showAll="0">
      <items count="7">
        <item x="4"/>
        <item x="5"/>
        <item x="0"/>
        <item x="3"/>
        <item x="2"/>
        <item x="1"/>
        <item t="default"/>
      </items>
    </pivotField>
    <pivotField showAll="0"/>
    <pivotField dataField="1" showAll="0"/>
    <pivotField axis="axisRow" showAll="0">
      <items count="5">
        <item x="0"/>
        <item x="3"/>
        <item x="1"/>
        <item x="2"/>
        <item t="default"/>
      </items>
    </pivotField>
    <pivotField showAll="0"/>
  </pivotFields>
  <rowFields count="1">
    <field x="6"/>
  </rowFields>
  <rowItems count="5">
    <i>
      <x/>
    </i>
    <i>
      <x v="1"/>
    </i>
    <i>
      <x v="2"/>
    </i>
    <i>
      <x v="3"/>
    </i>
    <i t="grand">
      <x/>
    </i>
  </rowItems>
  <colItems count="1">
    <i/>
  </colItems>
  <dataFields count="1">
    <dataField name="Average of Monthly Viewership (M)" fld="5" subtotal="average" baseField="6" baseItem="0" numFmtId="2"/>
  </dataFields>
  <chartFormats count="1">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2E549C-0AEC-4136-8E84-0C4B61CCA795}"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7:A98" firstHeaderRow="1" firstDataRow="1" firstDataCol="0"/>
  <pivotFields count="8">
    <pivotField showAll="0"/>
    <pivotField showAll="0">
      <items count="12">
        <item x="1"/>
        <item x="5"/>
        <item x="9"/>
        <item x="6"/>
        <item x="0"/>
        <item x="2"/>
        <item x="3"/>
        <item x="8"/>
        <item x="7"/>
        <item x="4"/>
        <item x="10"/>
        <item t="default"/>
      </items>
    </pivotField>
    <pivotField showAll="0">
      <items count="5">
        <item x="1"/>
        <item x="0"/>
        <item x="2"/>
        <item x="3"/>
        <item t="default"/>
      </items>
    </pivotField>
    <pivotField showAll="0">
      <items count="7">
        <item x="4"/>
        <item x="5"/>
        <item x="0"/>
        <item x="3"/>
        <item x="2"/>
        <item x="1"/>
        <item t="default"/>
      </items>
    </pivotField>
    <pivotField showAll="0"/>
    <pivotField dataField="1" showAll="0"/>
    <pivotField showAll="0">
      <items count="5">
        <item x="0"/>
        <item x="3"/>
        <item x="1"/>
        <item x="2"/>
        <item t="default"/>
      </items>
    </pivotField>
    <pivotField showAll="0"/>
  </pivotFields>
  <rowItems count="1">
    <i/>
  </rowItems>
  <colItems count="1">
    <i/>
  </colItems>
  <dataFields count="1">
    <dataField name="Sum of Monthly Viewership (M)"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338961-747A-4B8A-942A-C347CD1F73E3}"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70:E82" firstHeaderRow="1" firstDataRow="1" firstDataCol="1"/>
  <pivotFields count="8">
    <pivotField axis="axisRow" showAll="0" measureFilter="1">
      <items count="142">
        <item x="64"/>
        <item x="32"/>
        <item x="10"/>
        <item x="7"/>
        <item x="1"/>
        <item x="108"/>
        <item x="138"/>
        <item x="137"/>
        <item x="104"/>
        <item x="105"/>
        <item x="93"/>
        <item x="119"/>
        <item x="134"/>
        <item x="5"/>
        <item x="18"/>
        <item x="21"/>
        <item x="9"/>
        <item x="69"/>
        <item x="27"/>
        <item x="68"/>
        <item x="31"/>
        <item x="125"/>
        <item x="128"/>
        <item x="46"/>
        <item x="118"/>
        <item x="43"/>
        <item x="52"/>
        <item x="28"/>
        <item x="13"/>
        <item x="34"/>
        <item x="11"/>
        <item x="110"/>
        <item x="77"/>
        <item x="75"/>
        <item x="103"/>
        <item x="91"/>
        <item x="107"/>
        <item x="94"/>
        <item x="81"/>
        <item x="109"/>
        <item x="35"/>
        <item x="139"/>
        <item x="136"/>
        <item x="120"/>
        <item x="112"/>
        <item x="17"/>
        <item x="6"/>
        <item x="0"/>
        <item x="70"/>
        <item x="97"/>
        <item x="80"/>
        <item x="15"/>
        <item x="8"/>
        <item x="79"/>
        <item x="59"/>
        <item x="85"/>
        <item x="44"/>
        <item x="74"/>
        <item x="2"/>
        <item x="45"/>
        <item x="23"/>
        <item x="4"/>
        <item x="30"/>
        <item x="88"/>
        <item x="95"/>
        <item x="56"/>
        <item x="73"/>
        <item x="101"/>
        <item x="67"/>
        <item x="40"/>
        <item x="90"/>
        <item x="58"/>
        <item x="55"/>
        <item x="82"/>
        <item x="62"/>
        <item x="111"/>
        <item x="86"/>
        <item x="72"/>
        <item x="39"/>
        <item x="26"/>
        <item x="57"/>
        <item x="16"/>
        <item x="22"/>
        <item x="50"/>
        <item x="41"/>
        <item x="25"/>
        <item x="33"/>
        <item x="38"/>
        <item x="29"/>
        <item x="96"/>
        <item x="102"/>
        <item x="135"/>
        <item x="117"/>
        <item x="63"/>
        <item x="37"/>
        <item x="83"/>
        <item x="42"/>
        <item x="124"/>
        <item x="122"/>
        <item x="92"/>
        <item x="51"/>
        <item x="53"/>
        <item x="129"/>
        <item x="98"/>
        <item x="61"/>
        <item x="121"/>
        <item x="76"/>
        <item x="49"/>
        <item x="54"/>
        <item x="84"/>
        <item x="60"/>
        <item x="48"/>
        <item x="19"/>
        <item x="126"/>
        <item x="66"/>
        <item x="89"/>
        <item x="47"/>
        <item x="132"/>
        <item x="123"/>
        <item x="115"/>
        <item x="131"/>
        <item x="140"/>
        <item x="114"/>
        <item x="133"/>
        <item x="65"/>
        <item x="113"/>
        <item x="116"/>
        <item x="127"/>
        <item x="87"/>
        <item x="106"/>
        <item x="71"/>
        <item x="36"/>
        <item x="24"/>
        <item x="20"/>
        <item x="12"/>
        <item x="14"/>
        <item x="3"/>
        <item x="99"/>
        <item x="130"/>
        <item x="100"/>
        <item x="78"/>
        <item t="default"/>
      </items>
    </pivotField>
    <pivotField showAll="0">
      <items count="12">
        <item x="1"/>
        <item x="5"/>
        <item x="9"/>
        <item x="6"/>
        <item x="0"/>
        <item x="2"/>
        <item x="3"/>
        <item x="8"/>
        <item x="7"/>
        <item x="4"/>
        <item x="10"/>
        <item t="default"/>
      </items>
    </pivotField>
    <pivotField showAll="0">
      <items count="5">
        <item x="1"/>
        <item x="0"/>
        <item x="2"/>
        <item x="3"/>
        <item t="default"/>
      </items>
    </pivotField>
    <pivotField showAll="0">
      <items count="7">
        <item x="4"/>
        <item x="5"/>
        <item x="0"/>
        <item x="3"/>
        <item x="2"/>
        <item x="1"/>
        <item t="default"/>
      </items>
    </pivotField>
    <pivotField dataField="1" showAll="0"/>
    <pivotField showAll="0"/>
    <pivotField showAll="0">
      <items count="5">
        <item x="0"/>
        <item x="3"/>
        <item x="1"/>
        <item x="2"/>
        <item t="default"/>
      </items>
    </pivotField>
    <pivotField showAll="0"/>
  </pivotFields>
  <rowFields count="1">
    <field x="0"/>
  </rowFields>
  <rowItems count="12">
    <i>
      <x v="3"/>
    </i>
    <i>
      <x v="4"/>
    </i>
    <i>
      <x v="13"/>
    </i>
    <i>
      <x v="16"/>
    </i>
    <i>
      <x v="47"/>
    </i>
    <i>
      <x v="52"/>
    </i>
    <i>
      <x v="58"/>
    </i>
    <i>
      <x v="61"/>
    </i>
    <i>
      <x v="134"/>
    </i>
    <i>
      <x v="135"/>
    </i>
    <i>
      <x v="136"/>
    </i>
    <i t="grand">
      <x/>
    </i>
  </rowItems>
  <colItems count="1">
    <i/>
  </colItems>
  <dataFields count="1">
    <dataField name="Average of Viewer Rating (/ 10)" fld="4" subtotal="average" baseField="0" baseItem="4" numFmtId="2"/>
  </dataFields>
  <chartFormats count="1">
    <chartFormat chart="1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1B206D-21E8-4026-8AA8-59C721A866B3}"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C25" firstHeaderRow="0" firstDataRow="1" firstDataCol="1"/>
  <pivotFields count="8">
    <pivotField showAll="0"/>
    <pivotField showAll="0">
      <items count="12">
        <item x="1"/>
        <item x="5"/>
        <item x="9"/>
        <item x="6"/>
        <item x="0"/>
        <item x="2"/>
        <item x="3"/>
        <item x="8"/>
        <item x="7"/>
        <item x="4"/>
        <item x="10"/>
        <item t="default"/>
      </items>
    </pivotField>
    <pivotField axis="axisRow" showAll="0">
      <items count="5">
        <item x="1"/>
        <item x="0"/>
        <item x="2"/>
        <item x="3"/>
        <item t="default"/>
      </items>
    </pivotField>
    <pivotField showAll="0">
      <items count="7">
        <item x="4"/>
        <item x="5"/>
        <item x="0"/>
        <item x="3"/>
        <item x="2"/>
        <item x="1"/>
        <item t="default"/>
      </items>
    </pivotField>
    <pivotField dataField="1" showAll="0"/>
    <pivotField dataField="1" showAll="0"/>
    <pivotField showAll="0"/>
    <pivotField showAll="0"/>
  </pivotFields>
  <rowFields count="1">
    <field x="2"/>
  </rowFields>
  <rowItems count="5">
    <i>
      <x/>
    </i>
    <i>
      <x v="1"/>
    </i>
    <i>
      <x v="2"/>
    </i>
    <i>
      <x v="3"/>
    </i>
    <i t="grand">
      <x/>
    </i>
  </rowItems>
  <colFields count="1">
    <field x="-2"/>
  </colFields>
  <colItems count="2">
    <i>
      <x/>
    </i>
    <i i="1">
      <x v="1"/>
    </i>
  </colItems>
  <dataFields count="2">
    <dataField name="Average of Viewer Rating (/ 10)" fld="4" subtotal="average" baseField="2" baseItem="0" numFmtId="2"/>
    <dataField name="Average of Monthly Viewership (M)" fld="5" subtotal="average" baseField="2" baseItem="0" numFmtId="2"/>
  </dataFields>
  <chartFormats count="2">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7FC258-BA74-42B3-A418-FFC844E9130B}"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51:B58" firstHeaderRow="1" firstDataRow="1" firstDataCol="1"/>
  <pivotFields count="8">
    <pivotField showAll="0"/>
    <pivotField showAll="0">
      <items count="12">
        <item x="1"/>
        <item x="5"/>
        <item x="9"/>
        <item x="6"/>
        <item x="0"/>
        <item x="2"/>
        <item x="3"/>
        <item x="8"/>
        <item x="7"/>
        <item x="4"/>
        <item x="10"/>
        <item t="default"/>
      </items>
    </pivotField>
    <pivotField showAll="0">
      <items count="5">
        <item x="1"/>
        <item x="0"/>
        <item x="2"/>
        <item x="3"/>
        <item t="default"/>
      </items>
    </pivotField>
    <pivotField axis="axisRow" showAll="0">
      <items count="7">
        <item x="4"/>
        <item x="5"/>
        <item x="0"/>
        <item x="3"/>
        <item x="2"/>
        <item x="1"/>
        <item t="default"/>
      </items>
    </pivotField>
    <pivotField dataField="1" showAll="0"/>
    <pivotField showAll="0"/>
    <pivotField showAll="0">
      <items count="5">
        <item x="0"/>
        <item x="3"/>
        <item x="1"/>
        <item x="2"/>
        <item t="default"/>
      </items>
    </pivotField>
    <pivotField showAll="0"/>
  </pivotFields>
  <rowFields count="1">
    <field x="3"/>
  </rowFields>
  <rowItems count="7">
    <i>
      <x/>
    </i>
    <i>
      <x v="1"/>
    </i>
    <i>
      <x v="2"/>
    </i>
    <i>
      <x v="3"/>
    </i>
    <i>
      <x v="4"/>
    </i>
    <i>
      <x v="5"/>
    </i>
    <i t="grand">
      <x/>
    </i>
  </rowItems>
  <colItems count="1">
    <i/>
  </colItems>
  <dataFields count="1">
    <dataField name="Average of Viewer Rating (/ 10)" fld="4" subtotal="average" baseField="3" baseItem="0" numFmtId="2"/>
  </dataFields>
  <chartFormats count="1">
    <chartFormat chart="1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ECC6289-B382-495C-9FF3-8DEEA0AEB8A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8">
    <pivotField showAll="0"/>
    <pivotField dataField="1" showAll="0">
      <items count="12">
        <item x="1"/>
        <item x="5"/>
        <item x="9"/>
        <item x="6"/>
        <item x="0"/>
        <item x="2"/>
        <item x="3"/>
        <item x="8"/>
        <item x="7"/>
        <item x="4"/>
        <item x="10"/>
        <item t="default"/>
      </items>
    </pivotField>
    <pivotField showAll="0"/>
    <pivotField axis="axisRow" showAll="0">
      <items count="7">
        <item x="4"/>
        <item x="5"/>
        <item x="0"/>
        <item x="3"/>
        <item x="2"/>
        <item x="1"/>
        <item t="default"/>
      </items>
    </pivotField>
    <pivotField showAll="0"/>
    <pivotField showAll="0"/>
    <pivotField showAll="0"/>
    <pivotField showAll="0"/>
  </pivotFields>
  <rowFields count="1">
    <field x="3"/>
  </rowFields>
  <rowItems count="7">
    <i>
      <x/>
    </i>
    <i>
      <x v="1"/>
    </i>
    <i>
      <x v="2"/>
    </i>
    <i>
      <x v="3"/>
    </i>
    <i>
      <x v="4"/>
    </i>
    <i>
      <x v="5"/>
    </i>
    <i t="grand">
      <x/>
    </i>
  </rowItems>
  <colItems count="1">
    <i/>
  </colItems>
  <dataFields count="1">
    <dataField name="Count of Genr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FCAA376-44B5-4C83-A22F-E0D77CF9075C}"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1:B73" firstHeaderRow="1" firstDataRow="1" firstDataCol="1"/>
  <pivotFields count="8">
    <pivotField showAll="0"/>
    <pivotField showAll="0">
      <items count="12">
        <item x="1"/>
        <item x="5"/>
        <item x="9"/>
        <item x="6"/>
        <item x="0"/>
        <item x="2"/>
        <item x="3"/>
        <item x="8"/>
        <item x="7"/>
        <item x="4"/>
        <item x="10"/>
        <item t="default"/>
      </items>
    </pivotField>
    <pivotField axis="axisRow" showAll="0" measureFilter="1">
      <items count="5">
        <item x="1"/>
        <item x="0"/>
        <item x="2"/>
        <item x="3"/>
        <item t="default"/>
      </items>
    </pivotField>
    <pivotField showAll="0">
      <items count="7">
        <item x="4"/>
        <item x="5"/>
        <item x="0"/>
        <item x="3"/>
        <item x="2"/>
        <item x="1"/>
        <item t="default"/>
      </items>
    </pivotField>
    <pivotField dataField="1" showAll="0"/>
    <pivotField showAll="0"/>
    <pivotField showAll="0">
      <items count="5">
        <item x="0"/>
        <item x="3"/>
        <item x="1"/>
        <item x="2"/>
        <item t="default"/>
      </items>
    </pivotField>
    <pivotField showAll="0"/>
  </pivotFields>
  <rowFields count="1">
    <field x="2"/>
  </rowFields>
  <rowItems count="2">
    <i>
      <x v="1"/>
    </i>
    <i t="grand">
      <x/>
    </i>
  </rowItems>
  <colItems count="1">
    <i/>
  </colItems>
  <dataFields count="1">
    <dataField name="Average of Viewer Rating (/ 10)" fld="4" subtotal="average" baseField="2" baseItem="0" numFmtId="2"/>
  </dataFields>
  <pivotTableStyleInfo name="PivotStyleLight16" showRowHeaders="1" showColHeaders="1" showRowStripes="0" showColStripes="0" showLastColumn="1"/>
  <filters count="1">
    <filter fld="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63185A4-9315-42F6-862A-BB28ABC4B891}"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02:B105" firstHeaderRow="1" firstDataRow="1" firstDataCol="1"/>
  <pivotFields count="8">
    <pivotField axis="axisRow" showAll="0" measureFilter="1">
      <items count="142">
        <item x="64"/>
        <item x="32"/>
        <item x="10"/>
        <item x="7"/>
        <item x="1"/>
        <item x="108"/>
        <item x="138"/>
        <item x="137"/>
        <item x="104"/>
        <item x="105"/>
        <item x="93"/>
        <item x="119"/>
        <item x="134"/>
        <item x="5"/>
        <item x="18"/>
        <item x="21"/>
        <item x="9"/>
        <item x="69"/>
        <item x="27"/>
        <item x="68"/>
        <item x="31"/>
        <item x="125"/>
        <item x="128"/>
        <item x="46"/>
        <item x="118"/>
        <item x="43"/>
        <item x="52"/>
        <item x="28"/>
        <item x="13"/>
        <item x="34"/>
        <item x="11"/>
        <item x="110"/>
        <item x="77"/>
        <item x="75"/>
        <item x="103"/>
        <item x="91"/>
        <item x="107"/>
        <item x="94"/>
        <item x="81"/>
        <item x="109"/>
        <item x="35"/>
        <item x="139"/>
        <item x="136"/>
        <item x="120"/>
        <item x="112"/>
        <item x="17"/>
        <item x="6"/>
        <item x="0"/>
        <item x="70"/>
        <item x="97"/>
        <item x="80"/>
        <item x="15"/>
        <item x="8"/>
        <item x="79"/>
        <item x="59"/>
        <item x="85"/>
        <item x="44"/>
        <item x="74"/>
        <item x="2"/>
        <item x="45"/>
        <item x="23"/>
        <item x="4"/>
        <item x="30"/>
        <item x="88"/>
        <item x="95"/>
        <item x="56"/>
        <item x="73"/>
        <item x="101"/>
        <item x="67"/>
        <item x="40"/>
        <item x="90"/>
        <item x="58"/>
        <item x="55"/>
        <item x="82"/>
        <item x="62"/>
        <item x="111"/>
        <item x="86"/>
        <item x="72"/>
        <item x="39"/>
        <item x="26"/>
        <item x="57"/>
        <item x="16"/>
        <item x="22"/>
        <item x="50"/>
        <item x="41"/>
        <item x="25"/>
        <item x="33"/>
        <item x="38"/>
        <item x="29"/>
        <item x="96"/>
        <item x="102"/>
        <item x="135"/>
        <item x="117"/>
        <item x="63"/>
        <item x="37"/>
        <item x="83"/>
        <item x="42"/>
        <item x="124"/>
        <item x="122"/>
        <item x="92"/>
        <item x="51"/>
        <item x="53"/>
        <item x="129"/>
        <item x="98"/>
        <item x="61"/>
        <item x="121"/>
        <item x="76"/>
        <item x="49"/>
        <item x="54"/>
        <item x="84"/>
        <item x="60"/>
        <item x="48"/>
        <item x="19"/>
        <item x="126"/>
        <item x="66"/>
        <item x="89"/>
        <item x="47"/>
        <item x="132"/>
        <item x="123"/>
        <item x="115"/>
        <item x="131"/>
        <item x="140"/>
        <item x="114"/>
        <item x="133"/>
        <item x="65"/>
        <item x="113"/>
        <item x="116"/>
        <item x="127"/>
        <item x="87"/>
        <item x="106"/>
        <item x="71"/>
        <item x="36"/>
        <item x="24"/>
        <item x="20"/>
        <item x="12"/>
        <item x="14"/>
        <item x="3"/>
        <item x="99"/>
        <item x="130"/>
        <item x="100"/>
        <item x="78"/>
        <item t="default"/>
      </items>
    </pivotField>
    <pivotField showAll="0">
      <items count="12">
        <item x="1"/>
        <item x="5"/>
        <item x="9"/>
        <item x="6"/>
        <item x="0"/>
        <item x="2"/>
        <item x="3"/>
        <item x="8"/>
        <item x="7"/>
        <item x="4"/>
        <item x="10"/>
        <item t="default"/>
      </items>
    </pivotField>
    <pivotField showAll="0" measureFilter="1">
      <items count="5">
        <item x="1"/>
        <item x="0"/>
        <item x="2"/>
        <item x="3"/>
        <item t="default"/>
      </items>
    </pivotField>
    <pivotField showAll="0">
      <items count="7">
        <item x="4"/>
        <item x="5"/>
        <item x="0"/>
        <item x="3"/>
        <item x="2"/>
        <item x="1"/>
        <item t="default"/>
      </items>
    </pivotField>
    <pivotField dataField="1" showAll="0"/>
    <pivotField showAll="0"/>
    <pivotField showAll="0">
      <items count="5">
        <item x="0"/>
        <item x="3"/>
        <item x="1"/>
        <item x="2"/>
        <item t="default"/>
      </items>
    </pivotField>
    <pivotField showAll="0"/>
  </pivotFields>
  <rowFields count="1">
    <field x="0"/>
  </rowFields>
  <rowItems count="3">
    <i>
      <x v="4"/>
    </i>
    <i>
      <x v="58"/>
    </i>
    <i t="grand">
      <x/>
    </i>
  </rowItems>
  <colItems count="1">
    <i/>
  </colItems>
  <dataFields count="1">
    <dataField name="Average of Viewer Rating (/ 10)" fld="4" subtotal="average" baseField="2" baseItem="0" numFmtId="2"/>
  </dataFields>
  <pivotTableStyleInfo name="PivotStyleLight16" showRowHeaders="1" showColHeaders="1" showRowStripes="0" showColStripes="0" showLastColumn="1"/>
  <filters count="2">
    <filter fld="2" type="count" evalOrder="-1" id="1" iMeasureFld="0">
      <autoFilter ref="A1">
        <filterColumn colId="0">
          <top10 val="1" filterVal="1"/>
        </filterColumn>
      </autoFilter>
    </filter>
    <filter fld="0"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0D008B9-11D1-4825-AD40-EBD59C2D7012}"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91:C92" firstHeaderRow="1" firstDataRow="1" firstDataCol="0"/>
  <pivotFields count="8">
    <pivotField showAll="0"/>
    <pivotField showAll="0">
      <items count="12">
        <item x="1"/>
        <item x="5"/>
        <item x="9"/>
        <item x="6"/>
        <item x="0"/>
        <item x="2"/>
        <item x="3"/>
        <item x="8"/>
        <item x="7"/>
        <item x="4"/>
        <item x="10"/>
        <item t="default"/>
      </items>
    </pivotField>
    <pivotField showAll="0" measureFilter="1">
      <items count="5">
        <item x="1"/>
        <item x="0"/>
        <item x="2"/>
        <item x="3"/>
        <item t="default"/>
      </items>
    </pivotField>
    <pivotField showAll="0">
      <items count="7">
        <item x="4"/>
        <item x="5"/>
        <item x="0"/>
        <item x="3"/>
        <item x="2"/>
        <item x="1"/>
        <item t="default"/>
      </items>
    </pivotField>
    <pivotField dataField="1" showAll="0"/>
    <pivotField showAll="0"/>
    <pivotField showAll="0">
      <items count="5">
        <item x="0"/>
        <item x="3"/>
        <item x="1"/>
        <item x="2"/>
        <item t="default"/>
      </items>
    </pivotField>
    <pivotField showAll="0"/>
  </pivotFields>
  <rowItems count="1">
    <i/>
  </rowItems>
  <colItems count="1">
    <i/>
  </colItems>
  <dataFields count="1">
    <dataField name="Average of Viewer Rating (/ 10)" fld="4" subtotal="average" baseField="2" baseItem="0" numFmtId="2"/>
  </dataFields>
  <pivotTableStyleInfo name="PivotStyleLight16" showRowHeaders="1" showColHeaders="1" showRowStripes="0" showColStripes="0" showLastColumn="1"/>
  <filters count="1">
    <filter fld="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446FDE0-446E-4F94-B693-92F0843DC904}"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58:M61" firstHeaderRow="1" firstDataRow="1" firstDataCol="1"/>
  <pivotFields count="8">
    <pivotField axis="axisRow" showAll="0" measureFilter="1">
      <items count="142">
        <item x="64"/>
        <item x="32"/>
        <item x="10"/>
        <item x="7"/>
        <item x="1"/>
        <item x="108"/>
        <item x="138"/>
        <item x="137"/>
        <item x="104"/>
        <item x="105"/>
        <item x="93"/>
        <item x="119"/>
        <item x="134"/>
        <item x="5"/>
        <item x="18"/>
        <item x="21"/>
        <item x="9"/>
        <item x="69"/>
        <item x="27"/>
        <item x="68"/>
        <item x="31"/>
        <item x="125"/>
        <item x="128"/>
        <item x="46"/>
        <item x="118"/>
        <item x="43"/>
        <item x="52"/>
        <item x="28"/>
        <item x="13"/>
        <item x="34"/>
        <item x="11"/>
        <item x="110"/>
        <item x="77"/>
        <item x="75"/>
        <item x="103"/>
        <item x="91"/>
        <item x="107"/>
        <item x="94"/>
        <item x="81"/>
        <item x="109"/>
        <item x="35"/>
        <item x="139"/>
        <item x="136"/>
        <item x="120"/>
        <item x="112"/>
        <item x="17"/>
        <item x="6"/>
        <item x="0"/>
        <item x="70"/>
        <item x="97"/>
        <item x="80"/>
        <item x="15"/>
        <item x="8"/>
        <item x="79"/>
        <item x="59"/>
        <item x="85"/>
        <item x="44"/>
        <item x="74"/>
        <item x="2"/>
        <item x="45"/>
        <item x="23"/>
        <item x="4"/>
        <item x="30"/>
        <item x="88"/>
        <item x="95"/>
        <item x="56"/>
        <item x="73"/>
        <item x="101"/>
        <item x="67"/>
        <item x="40"/>
        <item x="90"/>
        <item x="58"/>
        <item x="55"/>
        <item x="82"/>
        <item x="62"/>
        <item x="111"/>
        <item x="86"/>
        <item x="72"/>
        <item x="39"/>
        <item x="26"/>
        <item x="57"/>
        <item x="16"/>
        <item x="22"/>
        <item x="50"/>
        <item x="41"/>
        <item x="25"/>
        <item x="33"/>
        <item x="38"/>
        <item x="29"/>
        <item x="96"/>
        <item x="102"/>
        <item x="135"/>
        <item x="117"/>
        <item x="63"/>
        <item x="37"/>
        <item x="83"/>
        <item x="42"/>
        <item x="124"/>
        <item x="122"/>
        <item x="92"/>
        <item x="51"/>
        <item x="53"/>
        <item x="129"/>
        <item x="98"/>
        <item x="61"/>
        <item x="121"/>
        <item x="76"/>
        <item x="49"/>
        <item x="54"/>
        <item x="84"/>
        <item x="60"/>
        <item x="48"/>
        <item x="19"/>
        <item x="126"/>
        <item x="66"/>
        <item x="89"/>
        <item x="47"/>
        <item x="132"/>
        <item x="123"/>
        <item x="115"/>
        <item x="131"/>
        <item x="140"/>
        <item x="114"/>
        <item x="133"/>
        <item x="65"/>
        <item x="113"/>
        <item x="116"/>
        <item x="127"/>
        <item x="87"/>
        <item x="106"/>
        <item x="71"/>
        <item x="36"/>
        <item x="24"/>
        <item x="20"/>
        <item x="12"/>
        <item x="14"/>
        <item x="3"/>
        <item x="99"/>
        <item x="130"/>
        <item x="100"/>
        <item x="78"/>
        <item t="default"/>
      </items>
    </pivotField>
    <pivotField showAll="0"/>
    <pivotField showAll="0">
      <items count="5">
        <item x="1"/>
        <item x="0"/>
        <item x="2"/>
        <item x="3"/>
        <item t="default"/>
      </items>
    </pivotField>
    <pivotField showAll="0">
      <items count="7">
        <item x="4"/>
        <item x="5"/>
        <item x="0"/>
        <item x="3"/>
        <item x="2"/>
        <item x="1"/>
        <item t="default"/>
      </items>
    </pivotField>
    <pivotField dataField="1" showAll="0"/>
    <pivotField showAll="0"/>
    <pivotField showAll="0">
      <items count="5">
        <item x="0"/>
        <item x="3"/>
        <item x="1"/>
        <item x="2"/>
        <item t="default"/>
      </items>
    </pivotField>
    <pivotField showAll="0"/>
  </pivotFields>
  <rowFields count="1">
    <field x="0"/>
  </rowFields>
  <rowItems count="3">
    <i>
      <x v="4"/>
    </i>
    <i>
      <x v="58"/>
    </i>
    <i t="grand">
      <x/>
    </i>
  </rowItems>
  <colItems count="1">
    <i/>
  </colItems>
  <dataFields count="1">
    <dataField name="Average of Viewer Rating (/ 10)" fld="4" subtotal="average" baseField="2" baseItem="0" numFmtId="2"/>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A35DC09-1EF7-4FDA-B326-7657AED51E79}"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49:M51" firstHeaderRow="1" firstDataRow="1" firstDataCol="1"/>
  <pivotFields count="8">
    <pivotField showAll="0"/>
    <pivotField showAll="0"/>
    <pivotField axis="axisRow" showAll="0" measureFilter="1">
      <items count="5">
        <item x="1"/>
        <item x="0"/>
        <item x="2"/>
        <item x="3"/>
        <item t="default"/>
      </items>
    </pivotField>
    <pivotField showAll="0">
      <items count="7">
        <item x="4"/>
        <item x="5"/>
        <item x="0"/>
        <item x="3"/>
        <item x="2"/>
        <item x="1"/>
        <item t="default"/>
      </items>
    </pivotField>
    <pivotField dataField="1" showAll="0"/>
    <pivotField showAll="0"/>
    <pivotField showAll="0">
      <items count="5">
        <item x="0"/>
        <item x="3"/>
        <item x="1"/>
        <item x="2"/>
        <item t="default"/>
      </items>
    </pivotField>
    <pivotField showAll="0"/>
  </pivotFields>
  <rowFields count="1">
    <field x="2"/>
  </rowFields>
  <rowItems count="2">
    <i>
      <x v="1"/>
    </i>
    <i t="grand">
      <x/>
    </i>
  </rowItems>
  <colItems count="1">
    <i/>
  </colItems>
  <dataFields count="1">
    <dataField name="Average of Viewer Rating (/ 10)" fld="4" subtotal="average" baseField="2" baseItem="0" numFmtId="2"/>
  </dataFields>
  <pivotTableStyleInfo name="PivotStyleLight16" showRowHeaders="1" showColHeaders="1" showRowStripes="0" showColStripes="0" showLastColumn="1"/>
  <filters count="1">
    <filter fld="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13BCD08-A83C-4BF6-BB28-3FFD42914E89}"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3:B65" firstHeaderRow="1" firstDataRow="1" firstDataCol="1"/>
  <pivotFields count="8">
    <pivotField axis="axisRow" showAll="0" measureFilter="1" sortType="ascending">
      <items count="142">
        <item x="64"/>
        <item x="32"/>
        <item x="10"/>
        <item x="7"/>
        <item x="1"/>
        <item x="108"/>
        <item x="138"/>
        <item x="137"/>
        <item x="104"/>
        <item x="105"/>
        <item x="93"/>
        <item x="119"/>
        <item x="134"/>
        <item x="5"/>
        <item x="18"/>
        <item x="21"/>
        <item x="9"/>
        <item x="69"/>
        <item x="27"/>
        <item x="68"/>
        <item x="31"/>
        <item x="125"/>
        <item x="128"/>
        <item x="46"/>
        <item x="118"/>
        <item x="43"/>
        <item x="52"/>
        <item x="28"/>
        <item x="13"/>
        <item x="34"/>
        <item x="11"/>
        <item x="110"/>
        <item x="77"/>
        <item x="75"/>
        <item x="103"/>
        <item x="91"/>
        <item x="107"/>
        <item x="94"/>
        <item x="81"/>
        <item x="109"/>
        <item x="35"/>
        <item x="139"/>
        <item x="136"/>
        <item x="120"/>
        <item x="112"/>
        <item x="17"/>
        <item x="6"/>
        <item x="0"/>
        <item x="70"/>
        <item x="97"/>
        <item x="80"/>
        <item x="15"/>
        <item x="8"/>
        <item x="79"/>
        <item x="59"/>
        <item x="85"/>
        <item x="44"/>
        <item x="74"/>
        <item x="2"/>
        <item x="45"/>
        <item x="23"/>
        <item x="4"/>
        <item x="30"/>
        <item x="88"/>
        <item x="95"/>
        <item x="56"/>
        <item x="73"/>
        <item x="101"/>
        <item x="67"/>
        <item x="40"/>
        <item x="90"/>
        <item x="58"/>
        <item x="55"/>
        <item x="82"/>
        <item x="62"/>
        <item x="111"/>
        <item x="86"/>
        <item x="72"/>
        <item x="39"/>
        <item x="26"/>
        <item x="57"/>
        <item x="16"/>
        <item x="22"/>
        <item x="50"/>
        <item x="41"/>
        <item x="25"/>
        <item x="33"/>
        <item x="38"/>
        <item x="29"/>
        <item x="96"/>
        <item x="102"/>
        <item x="135"/>
        <item x="117"/>
        <item x="63"/>
        <item x="37"/>
        <item x="83"/>
        <item x="42"/>
        <item x="124"/>
        <item x="122"/>
        <item x="92"/>
        <item x="51"/>
        <item x="53"/>
        <item x="129"/>
        <item x="98"/>
        <item x="61"/>
        <item x="121"/>
        <item x="76"/>
        <item x="49"/>
        <item x="54"/>
        <item x="84"/>
        <item x="60"/>
        <item x="48"/>
        <item x="19"/>
        <item x="126"/>
        <item x="66"/>
        <item x="89"/>
        <item x="47"/>
        <item x="132"/>
        <item x="123"/>
        <item x="115"/>
        <item x="131"/>
        <item x="140"/>
        <item x="114"/>
        <item x="133"/>
        <item x="65"/>
        <item x="113"/>
        <item x="116"/>
        <item x="127"/>
        <item x="87"/>
        <item x="106"/>
        <item x="71"/>
        <item x="36"/>
        <item x="24"/>
        <item x="20"/>
        <item x="12"/>
        <item x="14"/>
        <item x="3"/>
        <item x="99"/>
        <item x="130"/>
        <item x="100"/>
        <item x="78"/>
        <item t="default"/>
      </items>
      <autoSortScope>
        <pivotArea dataOnly="0" outline="0" fieldPosition="0">
          <references count="1">
            <reference field="4294967294" count="1" selected="0">
              <x v="0"/>
            </reference>
          </references>
        </pivotArea>
      </autoSortScope>
    </pivotField>
    <pivotField showAll="0"/>
    <pivotField showAll="0">
      <items count="5">
        <item x="1"/>
        <item x="0"/>
        <item x="2"/>
        <item x="3"/>
        <item t="default"/>
      </items>
    </pivotField>
    <pivotField showAll="0">
      <items count="7">
        <item x="4"/>
        <item x="5"/>
        <item x="0"/>
        <item x="3"/>
        <item x="2"/>
        <item x="1"/>
        <item t="default"/>
      </items>
    </pivotField>
    <pivotField dataField="1" showAll="0"/>
    <pivotField showAll="0"/>
    <pivotField showAll="0">
      <items count="5">
        <item x="0"/>
        <item x="3"/>
        <item x="1"/>
        <item x="2"/>
        <item t="default"/>
      </items>
    </pivotField>
    <pivotField showAll="0"/>
  </pivotFields>
  <rowFields count="1">
    <field x="0"/>
  </rowFields>
  <rowItems count="12">
    <i>
      <x v="3"/>
    </i>
    <i>
      <x v="135"/>
    </i>
    <i>
      <x v="61"/>
    </i>
    <i>
      <x v="52"/>
    </i>
    <i>
      <x v="13"/>
    </i>
    <i>
      <x v="16"/>
    </i>
    <i>
      <x v="134"/>
    </i>
    <i>
      <x v="136"/>
    </i>
    <i>
      <x v="47"/>
    </i>
    <i>
      <x v="4"/>
    </i>
    <i>
      <x v="58"/>
    </i>
    <i t="grand">
      <x/>
    </i>
  </rowItems>
  <colItems count="1">
    <i/>
  </colItems>
  <dataFields count="1">
    <dataField name="Average of Viewer Rating (/ 10)" fld="4" subtotal="average" baseField="2" baseItem="0" numFmtId="2"/>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2DC837E-2897-4115-B471-40ABD5F41171}"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43:L44" firstHeaderRow="1" firstDataRow="1" firstDataCol="0"/>
  <pivotFields count="8">
    <pivotField showAll="0"/>
    <pivotField showAll="0"/>
    <pivotField showAll="0">
      <items count="5">
        <item x="1"/>
        <item x="0"/>
        <item x="2"/>
        <item x="3"/>
        <item t="default"/>
      </items>
    </pivotField>
    <pivotField showAll="0">
      <items count="7">
        <item x="4"/>
        <item x="5"/>
        <item x="0"/>
        <item x="3"/>
        <item x="2"/>
        <item x="1"/>
        <item t="default"/>
      </items>
    </pivotField>
    <pivotField showAll="0"/>
    <pivotField dataField="1" showAll="0"/>
    <pivotField showAll="0">
      <items count="5">
        <item x="0"/>
        <item x="3"/>
        <item x="1"/>
        <item x="2"/>
        <item t="default"/>
      </items>
    </pivotField>
    <pivotField showAll="0"/>
  </pivotFields>
  <rowItems count="1">
    <i/>
  </rowItems>
  <colItems count="1">
    <i/>
  </colItems>
  <dataFields count="1">
    <dataField name="Sum of Monthly Viewership (M)"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75A0B85-6141-43F3-8E91-AD9A05C54D39}"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31:L32" firstHeaderRow="1" firstDataRow="1" firstDataCol="0"/>
  <pivotFields count="8">
    <pivotField showAll="0"/>
    <pivotField showAll="0"/>
    <pivotField showAll="0">
      <items count="5">
        <item x="1"/>
        <item x="0"/>
        <item x="2"/>
        <item x="3"/>
        <item t="default"/>
      </items>
    </pivotField>
    <pivotField showAll="0">
      <items count="7">
        <item x="4"/>
        <item x="5"/>
        <item x="0"/>
        <item x="3"/>
        <item x="2"/>
        <item x="1"/>
        <item t="default"/>
      </items>
    </pivotField>
    <pivotField dataField="1" showAll="0"/>
    <pivotField showAll="0"/>
    <pivotField showAll="0">
      <items count="5">
        <item x="0"/>
        <item x="3"/>
        <item x="1"/>
        <item x="2"/>
        <item t="default"/>
      </items>
    </pivotField>
    <pivotField showAll="0"/>
  </pivotFields>
  <rowItems count="1">
    <i/>
  </rowItems>
  <colItems count="1">
    <i/>
  </colItems>
  <dataFields count="1">
    <dataField name="Average of Viewer Rating (/ 10)" fld="4"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AF152A9-5655-4468-8CA8-C35CDD4A4397}"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C6" firstHeaderRow="0" firstDataRow="1" firstDataCol="1"/>
  <pivotFields count="8">
    <pivotField showAll="0"/>
    <pivotField showAll="0"/>
    <pivotField axis="axisRow" showAll="0">
      <items count="5">
        <item x="1"/>
        <item x="0"/>
        <item x="2"/>
        <item x="3"/>
        <item t="default"/>
      </items>
    </pivotField>
    <pivotField showAll="0">
      <items count="7">
        <item x="4"/>
        <item x="5"/>
        <item x="0"/>
        <item x="3"/>
        <item x="2"/>
        <item x="1"/>
        <item t="default"/>
      </items>
    </pivotField>
    <pivotField dataField="1" showAll="0"/>
    <pivotField dataField="1" showAll="0"/>
    <pivotField showAll="0">
      <items count="5">
        <item x="0"/>
        <item x="3"/>
        <item x="1"/>
        <item x="2"/>
        <item t="default"/>
      </items>
    </pivotField>
    <pivotField showAll="0"/>
  </pivotFields>
  <rowFields count="1">
    <field x="2"/>
  </rowFields>
  <rowItems count="5">
    <i>
      <x/>
    </i>
    <i>
      <x v="1"/>
    </i>
    <i>
      <x v="2"/>
    </i>
    <i>
      <x v="3"/>
    </i>
    <i t="grand">
      <x/>
    </i>
  </rowItems>
  <colFields count="1">
    <field x="-2"/>
  </colFields>
  <colItems count="2">
    <i>
      <x/>
    </i>
    <i i="1">
      <x v="1"/>
    </i>
  </colItems>
  <dataFields count="2">
    <dataField name="Average of Viewer Rating (/ 10)" fld="4" subtotal="average" baseField="2" baseItem="0" numFmtId="2"/>
    <dataField name="Average of Monthly Viewership (M)" fld="5" subtotal="average" baseField="2" baseItem="0" numFmtId="2"/>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8F9459F-DF05-4EAD-8FEF-A4460736575C}"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B25" firstHeaderRow="1" firstDataRow="1" firstDataCol="1"/>
  <pivotFields count="8">
    <pivotField showAll="0"/>
    <pivotField showAll="0"/>
    <pivotField showAll="0">
      <items count="5">
        <item x="1"/>
        <item x="0"/>
        <item x="2"/>
        <item x="3"/>
        <item t="default"/>
      </items>
    </pivotField>
    <pivotField showAll="0">
      <items count="7">
        <item x="4"/>
        <item x="5"/>
        <item x="0"/>
        <item x="3"/>
        <item x="2"/>
        <item x="1"/>
        <item t="default"/>
      </items>
    </pivotField>
    <pivotField showAll="0"/>
    <pivotField dataField="1" showAll="0"/>
    <pivotField axis="axisRow" showAll="0">
      <items count="5">
        <item x="0"/>
        <item x="3"/>
        <item x="1"/>
        <item x="2"/>
        <item t="default"/>
      </items>
    </pivotField>
    <pivotField showAll="0"/>
  </pivotFields>
  <rowFields count="1">
    <field x="6"/>
  </rowFields>
  <rowItems count="5">
    <i>
      <x/>
    </i>
    <i>
      <x v="1"/>
    </i>
    <i>
      <x v="2"/>
    </i>
    <i>
      <x v="3"/>
    </i>
    <i t="grand">
      <x/>
    </i>
  </rowItems>
  <colItems count="1">
    <i/>
  </colItems>
  <dataFields count="1">
    <dataField name="Average of Monthly Viewership (M)" fld="5" subtotal="average" baseField="2" baseItem="0" numFmtId="2"/>
  </dataFields>
  <chartFormats count="4">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69CCA40-7846-4BDA-852C-1D0A24634B9D}"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6:B43" firstHeaderRow="1" firstDataRow="1" firstDataCol="1"/>
  <pivotFields count="8">
    <pivotField showAll="0"/>
    <pivotField showAll="0"/>
    <pivotField showAll="0">
      <items count="5">
        <item x="1"/>
        <item x="0"/>
        <item x="2"/>
        <item x="3"/>
        <item t="default"/>
      </items>
    </pivotField>
    <pivotField axis="axisRow" showAll="0">
      <items count="7">
        <item x="4"/>
        <item x="5"/>
        <item x="0"/>
        <item x="3"/>
        <item x="2"/>
        <item x="1"/>
        <item t="default"/>
      </items>
    </pivotField>
    <pivotField dataField="1" showAll="0"/>
    <pivotField showAll="0"/>
    <pivotField showAll="0">
      <items count="5">
        <item x="0"/>
        <item x="3"/>
        <item x="1"/>
        <item x="2"/>
        <item t="default"/>
      </items>
    </pivotField>
    <pivotField showAll="0"/>
  </pivotFields>
  <rowFields count="1">
    <field x="3"/>
  </rowFields>
  <rowItems count="7">
    <i>
      <x/>
    </i>
    <i>
      <x v="1"/>
    </i>
    <i>
      <x v="2"/>
    </i>
    <i>
      <x v="3"/>
    </i>
    <i>
      <x v="4"/>
    </i>
    <i>
      <x v="5"/>
    </i>
    <i t="grand">
      <x/>
    </i>
  </rowItems>
  <colItems count="1">
    <i/>
  </colItems>
  <dataFields count="1">
    <dataField name="Average of Viewer Rating (/ 10)" fld="4" subtotal="average" baseField="2" baseItem="0" numFmtId="2"/>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D2F9713-5439-4581-AD19-4336C399EA9D}"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21:L22" firstHeaderRow="1" firstDataRow="1" firstDataCol="0"/>
  <pivotFields count="8">
    <pivotField showAll="0"/>
    <pivotField showAll="0"/>
    <pivotField showAll="0">
      <items count="5">
        <item x="1"/>
        <item x="0"/>
        <item x="2"/>
        <item x="3"/>
        <item t="default"/>
      </items>
    </pivotField>
    <pivotField showAll="0">
      <items count="7">
        <item x="4"/>
        <item x="5"/>
        <item x="0"/>
        <item x="3"/>
        <item x="2"/>
        <item x="1"/>
        <item t="default"/>
      </items>
    </pivotField>
    <pivotField dataField="1" showAll="0"/>
    <pivotField showAll="0"/>
    <pivotField showAll="0">
      <items count="5">
        <item x="0"/>
        <item x="3"/>
        <item x="1"/>
        <item x="2"/>
        <item t="default"/>
      </items>
    </pivotField>
    <pivotField showAll="0"/>
  </pivotFields>
  <rowItems count="1">
    <i/>
  </rowItems>
  <colItems count="1">
    <i/>
  </colItems>
  <dataFields count="1">
    <dataField name="Average of Viewer Rating (/ 10)" fld="4"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F52012C-956C-4DC0-A0C2-F512FF6F5FCC}"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38:L39" firstHeaderRow="1" firstDataRow="1" firstDataCol="0"/>
  <pivotFields count="8">
    <pivotField dataField="1" showAll="0">
      <items count="142">
        <item x="64"/>
        <item x="32"/>
        <item x="10"/>
        <item x="7"/>
        <item x="1"/>
        <item x="108"/>
        <item x="138"/>
        <item x="137"/>
        <item x="104"/>
        <item x="105"/>
        <item x="93"/>
        <item x="119"/>
        <item x="134"/>
        <item x="5"/>
        <item x="18"/>
        <item x="21"/>
        <item x="9"/>
        <item x="69"/>
        <item x="27"/>
        <item x="68"/>
        <item x="31"/>
        <item x="125"/>
        <item x="128"/>
        <item x="46"/>
        <item x="118"/>
        <item x="43"/>
        <item x="52"/>
        <item x="28"/>
        <item x="13"/>
        <item x="34"/>
        <item x="11"/>
        <item x="110"/>
        <item x="77"/>
        <item x="75"/>
        <item x="103"/>
        <item x="91"/>
        <item x="107"/>
        <item x="94"/>
        <item x="81"/>
        <item x="109"/>
        <item x="35"/>
        <item x="139"/>
        <item x="136"/>
        <item x="120"/>
        <item x="112"/>
        <item x="17"/>
        <item x="6"/>
        <item x="0"/>
        <item x="70"/>
        <item x="97"/>
        <item x="80"/>
        <item x="15"/>
        <item x="8"/>
        <item x="79"/>
        <item x="59"/>
        <item x="85"/>
        <item x="44"/>
        <item x="74"/>
        <item x="2"/>
        <item x="45"/>
        <item x="23"/>
        <item x="4"/>
        <item x="30"/>
        <item x="88"/>
        <item x="95"/>
        <item x="56"/>
        <item x="73"/>
        <item x="101"/>
        <item x="67"/>
        <item x="40"/>
        <item x="90"/>
        <item x="58"/>
        <item x="55"/>
        <item x="82"/>
        <item x="62"/>
        <item x="111"/>
        <item x="86"/>
        <item x="72"/>
        <item x="39"/>
        <item x="26"/>
        <item x="57"/>
        <item x="16"/>
        <item x="22"/>
        <item x="50"/>
        <item x="41"/>
        <item x="25"/>
        <item x="33"/>
        <item x="38"/>
        <item x="29"/>
        <item x="96"/>
        <item x="102"/>
        <item x="135"/>
        <item x="117"/>
        <item x="63"/>
        <item x="37"/>
        <item x="83"/>
        <item x="42"/>
        <item x="124"/>
        <item x="122"/>
        <item x="92"/>
        <item x="51"/>
        <item x="53"/>
        <item x="129"/>
        <item x="98"/>
        <item x="61"/>
        <item x="121"/>
        <item x="76"/>
        <item x="49"/>
        <item x="54"/>
        <item x="84"/>
        <item x="60"/>
        <item x="48"/>
        <item x="19"/>
        <item x="126"/>
        <item x="66"/>
        <item x="89"/>
        <item x="47"/>
        <item x="132"/>
        <item x="123"/>
        <item x="115"/>
        <item x="131"/>
        <item x="140"/>
        <item x="114"/>
        <item x="133"/>
        <item x="65"/>
        <item x="113"/>
        <item x="116"/>
        <item x="127"/>
        <item x="87"/>
        <item x="106"/>
        <item x="71"/>
        <item x="36"/>
        <item x="24"/>
        <item x="20"/>
        <item x="12"/>
        <item x="14"/>
        <item x="3"/>
        <item x="99"/>
        <item x="130"/>
        <item x="100"/>
        <item x="78"/>
        <item t="default"/>
      </items>
    </pivotField>
    <pivotField showAll="0"/>
    <pivotField showAll="0">
      <items count="5">
        <item x="1"/>
        <item x="0"/>
        <item x="2"/>
        <item x="3"/>
        <item t="default"/>
      </items>
    </pivotField>
    <pivotField showAll="0">
      <items count="7">
        <item x="4"/>
        <item x="5"/>
        <item x="0"/>
        <item x="3"/>
        <item x="2"/>
        <item x="1"/>
        <item t="default"/>
      </items>
    </pivotField>
    <pivotField showAll="0"/>
    <pivotField showAll="0"/>
    <pivotField showAll="0">
      <items count="5">
        <item x="0"/>
        <item x="3"/>
        <item x="1"/>
        <item x="2"/>
        <item t="default"/>
      </items>
    </pivotField>
    <pivotField showAll="0"/>
  </pivotFields>
  <rowItems count="1">
    <i/>
  </rowItems>
  <colItems count="1">
    <i/>
  </colItems>
  <dataFields count="1">
    <dataField name="Count of Anime Titl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D74AF08A-2EAE-4117-AA3F-0C161E8E916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21:B33" firstHeaderRow="1" firstDataRow="1" firstDataCol="1"/>
  <pivotFields count="7">
    <pivotField showAll="0">
      <items count="624">
        <item x="23"/>
        <item x="427"/>
        <item x="291"/>
        <item x="4"/>
        <item x="300"/>
        <item x="571"/>
        <item x="29"/>
        <item x="550"/>
        <item x="535"/>
        <item x="595"/>
        <item x="486"/>
        <item x="198"/>
        <item x="588"/>
        <item x="524"/>
        <item x="209"/>
        <item x="278"/>
        <item x="152"/>
        <item x="482"/>
        <item x="257"/>
        <item x="24"/>
        <item x="154"/>
        <item x="83"/>
        <item x="135"/>
        <item x="288"/>
        <item x="118"/>
        <item x="515"/>
        <item x="189"/>
        <item x="228"/>
        <item x="261"/>
        <item x="128"/>
        <item x="39"/>
        <item x="54"/>
        <item x="240"/>
        <item x="210"/>
        <item x="115"/>
        <item x="477"/>
        <item x="132"/>
        <item x="35"/>
        <item x="117"/>
        <item x="593"/>
        <item x="425"/>
        <item x="620"/>
        <item x="65"/>
        <item x="603"/>
        <item x="553"/>
        <item x="385"/>
        <item x="449"/>
        <item x="540"/>
        <item x="406"/>
        <item x="351"/>
        <item x="391"/>
        <item x="615"/>
        <item x="539"/>
        <item x="393"/>
        <item x="302"/>
        <item x="227"/>
        <item x="433"/>
        <item x="253"/>
        <item x="468"/>
        <item x="578"/>
        <item x="390"/>
        <item x="120"/>
        <item x="458"/>
        <item x="284"/>
        <item x="376"/>
        <item x="375"/>
        <item x="47"/>
        <item x="192"/>
        <item x="30"/>
        <item x="138"/>
        <item x="129"/>
        <item x="57"/>
        <item x="51"/>
        <item x="252"/>
        <item x="63"/>
        <item x="585"/>
        <item x="594"/>
        <item x="106"/>
        <item x="212"/>
        <item x="169"/>
        <item x="396"/>
        <item x="350"/>
        <item x="157"/>
        <item x="25"/>
        <item x="529"/>
        <item x="537"/>
        <item x="565"/>
        <item x="277"/>
        <item x="99"/>
        <item x="256"/>
        <item x="70"/>
        <item x="68"/>
        <item x="37"/>
        <item x="431"/>
        <item x="454"/>
        <item x="518"/>
        <item x="103"/>
        <item x="92"/>
        <item x="547"/>
        <item x="133"/>
        <item x="247"/>
        <item x="504"/>
        <item x="380"/>
        <item x="131"/>
        <item x="361"/>
        <item x="387"/>
        <item x="419"/>
        <item x="199"/>
        <item x="5"/>
        <item x="20"/>
        <item x="87"/>
        <item x="146"/>
        <item x="397"/>
        <item x="156"/>
        <item x="6"/>
        <item x="309"/>
        <item x="619"/>
        <item x="592"/>
        <item x="347"/>
        <item x="544"/>
        <item x="599"/>
        <item x="448"/>
        <item x="343"/>
        <item x="110"/>
        <item x="583"/>
        <item x="395"/>
        <item x="50"/>
        <item x="158"/>
        <item x="525"/>
        <item x="58"/>
        <item x="266"/>
        <item x="445"/>
        <item x="298"/>
        <item x="85"/>
        <item x="53"/>
        <item x="455"/>
        <item x="605"/>
        <item x="19"/>
        <item x="36"/>
        <item x="167"/>
        <item x="422"/>
        <item x="76"/>
        <item x="568"/>
        <item x="108"/>
        <item x="184"/>
        <item x="282"/>
        <item x="204"/>
        <item x="84"/>
        <item x="31"/>
        <item x="271"/>
        <item x="344"/>
        <item x="502"/>
        <item x="411"/>
        <item x="559"/>
        <item x="116"/>
        <item x="151"/>
        <item x="297"/>
        <item x="581"/>
        <item x="18"/>
        <item x="597"/>
        <item x="412"/>
        <item x="270"/>
        <item x="44"/>
        <item x="562"/>
        <item x="162"/>
        <item x="41"/>
        <item x="46"/>
        <item x="285"/>
        <item x="111"/>
        <item x="93"/>
        <item x="546"/>
        <item x="364"/>
        <item x="607"/>
        <item x="398"/>
        <item x="609"/>
        <item x="471"/>
        <item x="336"/>
        <item x="143"/>
        <item x="194"/>
        <item x="224"/>
        <item x="604"/>
        <item x="188"/>
        <item x="596"/>
        <item x="379"/>
        <item x="494"/>
        <item x="435"/>
        <item x="269"/>
        <item x="601"/>
        <item x="172"/>
        <item x="22"/>
        <item x="394"/>
        <item x="296"/>
        <item x="440"/>
        <item x="505"/>
        <item x="265"/>
        <item x="203"/>
        <item x="381"/>
        <item x="113"/>
        <item x="555"/>
        <item x="532"/>
        <item x="77"/>
        <item x="341"/>
        <item x="38"/>
        <item x="428"/>
        <item x="2"/>
        <item x="329"/>
        <item x="34"/>
        <item x="424"/>
        <item x="447"/>
        <item x="316"/>
        <item x="241"/>
        <item x="399"/>
        <item x="618"/>
        <item x="509"/>
        <item x="542"/>
        <item x="337"/>
        <item x="561"/>
        <item x="1"/>
        <item x="145"/>
        <item x="392"/>
        <item x="452"/>
        <item x="320"/>
        <item x="161"/>
        <item x="357"/>
        <item x="294"/>
        <item x="331"/>
        <item x="359"/>
        <item x="389"/>
        <item x="96"/>
        <item x="213"/>
        <item x="439"/>
        <item x="576"/>
        <item x="503"/>
        <item x="409"/>
        <item x="174"/>
        <item x="208"/>
        <item x="160"/>
        <item x="483"/>
        <item x="201"/>
        <item x="219"/>
        <item x="459"/>
        <item x="358"/>
        <item x="263"/>
        <item x="557"/>
        <item x="332"/>
        <item x="369"/>
        <item x="153"/>
        <item x="244"/>
        <item x="193"/>
        <item x="195"/>
        <item x="319"/>
        <item x="612"/>
        <item x="474"/>
        <item x="456"/>
        <item x="104"/>
        <item x="134"/>
        <item x="437"/>
        <item x="27"/>
        <item x="14"/>
        <item x="243"/>
        <item x="574"/>
        <item x="142"/>
        <item x="570"/>
        <item x="522"/>
        <item x="305"/>
        <item x="109"/>
        <item x="434"/>
        <item x="322"/>
        <item x="95"/>
        <item x="489"/>
        <item x="621"/>
        <item x="60"/>
        <item x="283"/>
        <item x="382"/>
        <item x="506"/>
        <item x="552"/>
        <item x="112"/>
        <item x="273"/>
        <item x="102"/>
        <item x="386"/>
        <item x="268"/>
        <item x="196"/>
        <item x="512"/>
        <item x="73"/>
        <item x="281"/>
        <item x="187"/>
        <item x="308"/>
        <item x="307"/>
        <item x="346"/>
        <item x="255"/>
        <item x="342"/>
        <item x="223"/>
        <item x="325"/>
        <item x="500"/>
        <item x="501"/>
        <item x="258"/>
        <item x="438"/>
        <item x="125"/>
        <item x="584"/>
        <item x="94"/>
        <item x="260"/>
        <item x="17"/>
        <item x="293"/>
        <item x="495"/>
        <item x="374"/>
        <item x="326"/>
        <item x="26"/>
        <item x="408"/>
        <item x="429"/>
        <item x="249"/>
        <item x="254"/>
        <item x="8"/>
        <item x="12"/>
        <item x="119"/>
        <item x="28"/>
        <item x="441"/>
        <item x="580"/>
        <item x="49"/>
        <item x="43"/>
        <item x="267"/>
        <item x="32"/>
        <item x="279"/>
        <item x="516"/>
        <item x="173"/>
        <item x="606"/>
        <item x="168"/>
        <item x="423"/>
        <item x="538"/>
        <item x="124"/>
        <item x="155"/>
        <item x="237"/>
        <item x="402"/>
        <item x="66"/>
        <item x="404"/>
        <item x="426"/>
        <item x="321"/>
        <item x="513"/>
        <item x="355"/>
        <item x="554"/>
        <item x="365"/>
        <item x="517"/>
        <item x="301"/>
        <item x="317"/>
        <item x="311"/>
        <item x="377"/>
        <item x="98"/>
        <item x="211"/>
        <item x="61"/>
        <item x="368"/>
        <item x="140"/>
        <item x="82"/>
        <item x="334"/>
        <item x="600"/>
        <item x="121"/>
        <item x="16"/>
        <item x="48"/>
        <item x="245"/>
        <item x="225"/>
        <item x="186"/>
        <item x="304"/>
        <item x="556"/>
        <item x="246"/>
        <item x="100"/>
        <item x="299"/>
        <item x="496"/>
        <item x="484"/>
        <item x="566"/>
        <item x="469"/>
        <item x="372"/>
        <item x="91"/>
        <item x="485"/>
        <item x="442"/>
        <item x="499"/>
        <item x="528"/>
        <item x="582"/>
        <item x="148"/>
        <item x="487"/>
        <item x="462"/>
        <item x="139"/>
        <item x="222"/>
        <item x="89"/>
        <item x="59"/>
        <item x="64"/>
        <item x="622"/>
        <item x="446"/>
        <item x="472"/>
        <item x="276"/>
        <item x="356"/>
        <item x="569"/>
        <item x="354"/>
        <item x="328"/>
        <item x="127"/>
        <item x="534"/>
        <item x="610"/>
        <item x="480"/>
        <item x="229"/>
        <item x="461"/>
        <item x="264"/>
        <item x="202"/>
        <item x="97"/>
        <item x="42"/>
        <item x="101"/>
        <item x="163"/>
        <item x="114"/>
        <item x="318"/>
        <item x="338"/>
        <item x="233"/>
        <item x="470"/>
        <item x="481"/>
        <item x="55"/>
        <item x="289"/>
        <item x="460"/>
        <item x="575"/>
        <item x="353"/>
        <item x="166"/>
        <item x="613"/>
        <item x="122"/>
        <item x="586"/>
        <item x="508"/>
        <item x="519"/>
        <item x="349"/>
        <item x="348"/>
        <item x="488"/>
        <item x="274"/>
        <item x="130"/>
        <item x="81"/>
        <item x="533"/>
        <item x="465"/>
        <item x="147"/>
        <item x="466"/>
        <item x="78"/>
        <item x="339"/>
        <item x="214"/>
        <item x="79"/>
        <item x="286"/>
        <item x="467"/>
        <item x="345"/>
        <item x="418"/>
        <item x="9"/>
        <item x="333"/>
        <item x="567"/>
        <item x="415"/>
        <item x="527"/>
        <item x="295"/>
        <item x="479"/>
        <item x="616"/>
        <item x="262"/>
        <item x="181"/>
        <item x="450"/>
        <item x="545"/>
        <item x="475"/>
        <item x="579"/>
        <item x="414"/>
        <item x="617"/>
        <item x="206"/>
        <item x="312"/>
        <item x="564"/>
        <item x="190"/>
        <item x="165"/>
        <item x="197"/>
        <item x="287"/>
        <item x="56"/>
        <item x="551"/>
        <item x="436"/>
        <item x="602"/>
        <item x="205"/>
        <item x="259"/>
        <item x="476"/>
        <item x="159"/>
        <item x="141"/>
        <item x="589"/>
        <item x="126"/>
        <item x="272"/>
        <item x="0"/>
        <item x="491"/>
        <item x="520"/>
        <item x="473"/>
        <item x="451"/>
        <item x="226"/>
        <item x="62"/>
        <item x="388"/>
        <item x="543"/>
        <item x="421"/>
        <item x="182"/>
        <item x="614"/>
        <item x="577"/>
        <item x="572"/>
        <item x="521"/>
        <item x="453"/>
        <item x="170"/>
        <item x="558"/>
        <item x="413"/>
        <item x="430"/>
        <item x="492"/>
        <item x="563"/>
        <item x="507"/>
        <item x="327"/>
        <item x="384"/>
        <item x="324"/>
        <item x="171"/>
        <item x="573"/>
        <item x="303"/>
        <item x="90"/>
        <item x="88"/>
        <item x="216"/>
        <item x="590"/>
        <item x="290"/>
        <item x="69"/>
        <item x="80"/>
        <item x="313"/>
        <item x="149"/>
        <item x="292"/>
        <item x="373"/>
        <item x="457"/>
        <item x="371"/>
        <item x="523"/>
        <item x="231"/>
        <item x="378"/>
        <item x="230"/>
        <item x="416"/>
        <item x="52"/>
        <item x="21"/>
        <item x="137"/>
        <item x="234"/>
        <item x="383"/>
        <item x="15"/>
        <item x="191"/>
        <item x="251"/>
        <item x="218"/>
        <item x="400"/>
        <item x="176"/>
        <item x="183"/>
        <item x="363"/>
        <item x="221"/>
        <item x="71"/>
        <item x="490"/>
        <item x="242"/>
        <item x="207"/>
        <item x="236"/>
        <item x="410"/>
        <item x="275"/>
        <item x="123"/>
        <item x="13"/>
        <item x="536"/>
        <item x="541"/>
        <item x="352"/>
        <item x="478"/>
        <item x="10"/>
        <item x="370"/>
        <item x="598"/>
        <item x="360"/>
        <item x="403"/>
        <item x="367"/>
        <item x="220"/>
        <item x="67"/>
        <item x="177"/>
        <item x="86"/>
        <item x="407"/>
        <item x="107"/>
        <item x="235"/>
        <item x="74"/>
        <item x="323"/>
        <item x="200"/>
        <item x="180"/>
        <item x="215"/>
        <item x="366"/>
        <item x="549"/>
        <item x="611"/>
        <item x="420"/>
        <item x="314"/>
        <item x="401"/>
        <item x="514"/>
        <item x="238"/>
        <item x="587"/>
        <item x="144"/>
        <item x="417"/>
        <item x="464"/>
        <item x="280"/>
        <item x="340"/>
        <item x="531"/>
        <item x="185"/>
        <item x="608"/>
        <item x="530"/>
        <item x="239"/>
        <item x="548"/>
        <item x="432"/>
        <item x="179"/>
        <item x="45"/>
        <item x="232"/>
        <item x="510"/>
        <item x="315"/>
        <item x="498"/>
        <item x="164"/>
        <item x="40"/>
        <item x="330"/>
        <item x="335"/>
        <item x="306"/>
        <item x="497"/>
        <item x="248"/>
        <item x="444"/>
        <item x="591"/>
        <item x="75"/>
        <item x="136"/>
        <item x="250"/>
        <item x="72"/>
        <item x="217"/>
        <item x="560"/>
        <item x="443"/>
        <item x="33"/>
        <item x="11"/>
        <item x="7"/>
        <item x="175"/>
        <item x="526"/>
        <item x="3"/>
        <item x="463"/>
        <item x="105"/>
        <item x="493"/>
        <item x="511"/>
        <item x="310"/>
        <item x="405"/>
        <item x="362"/>
        <item x="150"/>
        <item x="178"/>
        <item t="default"/>
      </items>
    </pivotField>
    <pivotField showAll="0"/>
    <pivotField showAll="0"/>
    <pivotField axis="axisRow" dataField="1" showAll="0" measureFilter="1">
      <items count="23">
        <item x="1"/>
        <item x="0"/>
        <item x="11"/>
        <item x="18"/>
        <item x="7"/>
        <item x="3"/>
        <item x="2"/>
        <item x="15"/>
        <item x="5"/>
        <item x="21"/>
        <item x="10"/>
        <item x="12"/>
        <item x="16"/>
        <item x="13"/>
        <item x="6"/>
        <item x="14"/>
        <item x="4"/>
        <item x="8"/>
        <item x="9"/>
        <item x="17"/>
        <item x="20"/>
        <item x="19"/>
        <item t="default"/>
      </items>
    </pivotField>
    <pivotField showAll="0"/>
    <pivotField showAll="0">
      <items count="7">
        <item x="5"/>
        <item x="4"/>
        <item x="3"/>
        <item x="2"/>
        <item x="1"/>
        <item x="0"/>
        <item t="default"/>
      </items>
    </pivotField>
    <pivotField showAll="0">
      <items count="5">
        <item x="3"/>
        <item x="1"/>
        <item x="2"/>
        <item x="0"/>
        <item t="default"/>
      </items>
    </pivotField>
  </pivotFields>
  <rowFields count="1">
    <field x="3"/>
  </rowFields>
  <rowItems count="12">
    <i>
      <x/>
    </i>
    <i>
      <x v="1"/>
    </i>
    <i>
      <x v="4"/>
    </i>
    <i>
      <x v="5"/>
    </i>
    <i>
      <x v="6"/>
    </i>
    <i>
      <x v="8"/>
    </i>
    <i>
      <x v="14"/>
    </i>
    <i>
      <x v="16"/>
    </i>
    <i>
      <x v="17"/>
    </i>
    <i>
      <x v="18"/>
    </i>
    <i>
      <x v="19"/>
    </i>
    <i t="grand">
      <x/>
    </i>
  </rowItems>
  <colItems count="1">
    <i/>
  </colItems>
  <dataFields count="1">
    <dataField name="Count of Genres" fld="3" subtotal="count" baseField="0" baseItem="0"/>
  </dataFields>
  <chartFormats count="58">
    <chartFormat chart="9"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1" format="2">
      <pivotArea type="data" outline="0" fieldPosition="0">
        <references count="2">
          <reference field="4294967294" count="1" selected="0">
            <x v="0"/>
          </reference>
          <reference field="3" count="1" selected="0">
            <x v="0"/>
          </reference>
        </references>
      </pivotArea>
    </chartFormat>
    <chartFormat chart="21" format="3">
      <pivotArea type="data" outline="0" fieldPosition="0">
        <references count="2">
          <reference field="4294967294" count="1" selected="0">
            <x v="0"/>
          </reference>
          <reference field="3" count="1" selected="0">
            <x v="1"/>
          </reference>
        </references>
      </pivotArea>
    </chartFormat>
    <chartFormat chart="21" format="4">
      <pivotArea type="data" outline="0" fieldPosition="0">
        <references count="2">
          <reference field="4294967294" count="1" selected="0">
            <x v="0"/>
          </reference>
          <reference field="3" count="1" selected="0">
            <x v="4"/>
          </reference>
        </references>
      </pivotArea>
    </chartFormat>
    <chartFormat chart="21" format="5">
      <pivotArea type="data" outline="0" fieldPosition="0">
        <references count="2">
          <reference field="4294967294" count="1" selected="0">
            <x v="0"/>
          </reference>
          <reference field="3" count="1" selected="0">
            <x v="5"/>
          </reference>
        </references>
      </pivotArea>
    </chartFormat>
    <chartFormat chart="21" format="6">
      <pivotArea type="data" outline="0" fieldPosition="0">
        <references count="2">
          <reference field="4294967294" count="1" selected="0">
            <x v="0"/>
          </reference>
          <reference field="3" count="1" selected="0">
            <x v="6"/>
          </reference>
        </references>
      </pivotArea>
    </chartFormat>
    <chartFormat chart="21" format="7">
      <pivotArea type="data" outline="0" fieldPosition="0">
        <references count="2">
          <reference field="4294967294" count="1" selected="0">
            <x v="0"/>
          </reference>
          <reference field="3" count="1" selected="0">
            <x v="8"/>
          </reference>
        </references>
      </pivotArea>
    </chartFormat>
    <chartFormat chart="21" format="8">
      <pivotArea type="data" outline="0" fieldPosition="0">
        <references count="2">
          <reference field="4294967294" count="1" selected="0">
            <x v="0"/>
          </reference>
          <reference field="3" count="1" selected="0">
            <x v="14"/>
          </reference>
        </references>
      </pivotArea>
    </chartFormat>
    <chartFormat chart="21" format="9">
      <pivotArea type="data" outline="0" fieldPosition="0">
        <references count="2">
          <reference field="4294967294" count="1" selected="0">
            <x v="0"/>
          </reference>
          <reference field="3" count="1" selected="0">
            <x v="16"/>
          </reference>
        </references>
      </pivotArea>
    </chartFormat>
    <chartFormat chart="21" format="10">
      <pivotArea type="data" outline="0" fieldPosition="0">
        <references count="2">
          <reference field="4294967294" count="1" selected="0">
            <x v="0"/>
          </reference>
          <reference field="3" count="1" selected="0">
            <x v="17"/>
          </reference>
        </references>
      </pivotArea>
    </chartFormat>
    <chartFormat chart="21" format="11">
      <pivotArea type="data" outline="0" fieldPosition="0">
        <references count="2">
          <reference field="4294967294" count="1" selected="0">
            <x v="0"/>
          </reference>
          <reference field="3" count="1" selected="0">
            <x v="18"/>
          </reference>
        </references>
      </pivotArea>
    </chartFormat>
    <chartFormat chart="21" format="12">
      <pivotArea type="data" outline="0" fieldPosition="0">
        <references count="2">
          <reference field="4294967294" count="1" selected="0">
            <x v="0"/>
          </reference>
          <reference field="3" count="1" selected="0">
            <x v="19"/>
          </reference>
        </references>
      </pivotArea>
    </chartFormat>
    <chartFormat chart="22" format="13" series="1">
      <pivotArea type="data" outline="0" fieldPosition="0">
        <references count="1">
          <reference field="4294967294" count="1" selected="0">
            <x v="0"/>
          </reference>
        </references>
      </pivotArea>
    </chartFormat>
    <chartFormat chart="22" format="14">
      <pivotArea type="data" outline="0" fieldPosition="0">
        <references count="2">
          <reference field="4294967294" count="1" selected="0">
            <x v="0"/>
          </reference>
          <reference field="3" count="1" selected="0">
            <x v="0"/>
          </reference>
        </references>
      </pivotArea>
    </chartFormat>
    <chartFormat chart="22" format="15">
      <pivotArea type="data" outline="0" fieldPosition="0">
        <references count="2">
          <reference field="4294967294" count="1" selected="0">
            <x v="0"/>
          </reference>
          <reference field="3" count="1" selected="0">
            <x v="1"/>
          </reference>
        </references>
      </pivotArea>
    </chartFormat>
    <chartFormat chart="22" format="16">
      <pivotArea type="data" outline="0" fieldPosition="0">
        <references count="2">
          <reference field="4294967294" count="1" selected="0">
            <x v="0"/>
          </reference>
          <reference field="3" count="1" selected="0">
            <x v="4"/>
          </reference>
        </references>
      </pivotArea>
    </chartFormat>
    <chartFormat chart="22" format="17">
      <pivotArea type="data" outline="0" fieldPosition="0">
        <references count="2">
          <reference field="4294967294" count="1" selected="0">
            <x v="0"/>
          </reference>
          <reference field="3" count="1" selected="0">
            <x v="5"/>
          </reference>
        </references>
      </pivotArea>
    </chartFormat>
    <chartFormat chart="22" format="18">
      <pivotArea type="data" outline="0" fieldPosition="0">
        <references count="2">
          <reference field="4294967294" count="1" selected="0">
            <x v="0"/>
          </reference>
          <reference field="3" count="1" selected="0">
            <x v="6"/>
          </reference>
        </references>
      </pivotArea>
    </chartFormat>
    <chartFormat chart="22" format="19">
      <pivotArea type="data" outline="0" fieldPosition="0">
        <references count="2">
          <reference field="4294967294" count="1" selected="0">
            <x v="0"/>
          </reference>
          <reference field="3" count="1" selected="0">
            <x v="8"/>
          </reference>
        </references>
      </pivotArea>
    </chartFormat>
    <chartFormat chart="22" format="20">
      <pivotArea type="data" outline="0" fieldPosition="0">
        <references count="2">
          <reference field="4294967294" count="1" selected="0">
            <x v="0"/>
          </reference>
          <reference field="3" count="1" selected="0">
            <x v="14"/>
          </reference>
        </references>
      </pivotArea>
    </chartFormat>
    <chartFormat chart="22" format="21">
      <pivotArea type="data" outline="0" fieldPosition="0">
        <references count="2">
          <reference field="4294967294" count="1" selected="0">
            <x v="0"/>
          </reference>
          <reference field="3" count="1" selected="0">
            <x v="16"/>
          </reference>
        </references>
      </pivotArea>
    </chartFormat>
    <chartFormat chart="22" format="22">
      <pivotArea type="data" outline="0" fieldPosition="0">
        <references count="2">
          <reference field="4294967294" count="1" selected="0">
            <x v="0"/>
          </reference>
          <reference field="3" count="1" selected="0">
            <x v="17"/>
          </reference>
        </references>
      </pivotArea>
    </chartFormat>
    <chartFormat chart="22" format="23">
      <pivotArea type="data" outline="0" fieldPosition="0">
        <references count="2">
          <reference field="4294967294" count="1" selected="0">
            <x v="0"/>
          </reference>
          <reference field="3" count="1" selected="0">
            <x v="18"/>
          </reference>
        </references>
      </pivotArea>
    </chartFormat>
    <chartFormat chart="22" format="24">
      <pivotArea type="data" outline="0" fieldPosition="0">
        <references count="2">
          <reference field="4294967294" count="1" selected="0">
            <x v="0"/>
          </reference>
          <reference field="3" count="1" selected="0">
            <x v="19"/>
          </reference>
        </references>
      </pivotArea>
    </chartFormat>
    <chartFormat chart="25" format="13" series="1">
      <pivotArea type="data" outline="0" fieldPosition="0">
        <references count="1">
          <reference field="4294967294" count="1" selected="0">
            <x v="0"/>
          </reference>
        </references>
      </pivotArea>
    </chartFormat>
    <chartFormat chart="25" format="14">
      <pivotArea type="data" outline="0" fieldPosition="0">
        <references count="2">
          <reference field="4294967294" count="1" selected="0">
            <x v="0"/>
          </reference>
          <reference field="3" count="1" selected="0">
            <x v="0"/>
          </reference>
        </references>
      </pivotArea>
    </chartFormat>
    <chartFormat chart="25" format="15">
      <pivotArea type="data" outline="0" fieldPosition="0">
        <references count="2">
          <reference field="4294967294" count="1" selected="0">
            <x v="0"/>
          </reference>
          <reference field="3" count="1" selected="0">
            <x v="1"/>
          </reference>
        </references>
      </pivotArea>
    </chartFormat>
    <chartFormat chart="25" format="16">
      <pivotArea type="data" outline="0" fieldPosition="0">
        <references count="2">
          <reference field="4294967294" count="1" selected="0">
            <x v="0"/>
          </reference>
          <reference field="3" count="1" selected="0">
            <x v="4"/>
          </reference>
        </references>
      </pivotArea>
    </chartFormat>
    <chartFormat chart="25" format="17">
      <pivotArea type="data" outline="0" fieldPosition="0">
        <references count="2">
          <reference field="4294967294" count="1" selected="0">
            <x v="0"/>
          </reference>
          <reference field="3" count="1" selected="0">
            <x v="5"/>
          </reference>
        </references>
      </pivotArea>
    </chartFormat>
    <chartFormat chart="25" format="18">
      <pivotArea type="data" outline="0" fieldPosition="0">
        <references count="2">
          <reference field="4294967294" count="1" selected="0">
            <x v="0"/>
          </reference>
          <reference field="3" count="1" selected="0">
            <x v="6"/>
          </reference>
        </references>
      </pivotArea>
    </chartFormat>
    <chartFormat chart="25" format="19">
      <pivotArea type="data" outline="0" fieldPosition="0">
        <references count="2">
          <reference field="4294967294" count="1" selected="0">
            <x v="0"/>
          </reference>
          <reference field="3" count="1" selected="0">
            <x v="8"/>
          </reference>
        </references>
      </pivotArea>
    </chartFormat>
    <chartFormat chart="25" format="20">
      <pivotArea type="data" outline="0" fieldPosition="0">
        <references count="2">
          <reference field="4294967294" count="1" selected="0">
            <x v="0"/>
          </reference>
          <reference field="3" count="1" selected="0">
            <x v="14"/>
          </reference>
        </references>
      </pivotArea>
    </chartFormat>
    <chartFormat chart="25" format="21">
      <pivotArea type="data" outline="0" fieldPosition="0">
        <references count="2">
          <reference field="4294967294" count="1" selected="0">
            <x v="0"/>
          </reference>
          <reference field="3" count="1" selected="0">
            <x v="16"/>
          </reference>
        </references>
      </pivotArea>
    </chartFormat>
    <chartFormat chart="25" format="22">
      <pivotArea type="data" outline="0" fieldPosition="0">
        <references count="2">
          <reference field="4294967294" count="1" selected="0">
            <x v="0"/>
          </reference>
          <reference field="3" count="1" selected="0">
            <x v="17"/>
          </reference>
        </references>
      </pivotArea>
    </chartFormat>
    <chartFormat chart="25" format="23">
      <pivotArea type="data" outline="0" fieldPosition="0">
        <references count="2">
          <reference field="4294967294" count="1" selected="0">
            <x v="0"/>
          </reference>
          <reference field="3" count="1" selected="0">
            <x v="18"/>
          </reference>
        </references>
      </pivotArea>
    </chartFormat>
    <chartFormat chart="25" format="24">
      <pivotArea type="data" outline="0" fieldPosition="0">
        <references count="2">
          <reference field="4294967294" count="1" selected="0">
            <x v="0"/>
          </reference>
          <reference field="3" count="1" selected="0">
            <x v="19"/>
          </reference>
        </references>
      </pivotArea>
    </chartFormat>
    <chartFormat chart="9" format="1">
      <pivotArea type="data" outline="0" fieldPosition="0">
        <references count="2">
          <reference field="4294967294" count="1" selected="0">
            <x v="0"/>
          </reference>
          <reference field="3" count="1" selected="0">
            <x v="0"/>
          </reference>
        </references>
      </pivotArea>
    </chartFormat>
    <chartFormat chart="9" format="2">
      <pivotArea type="data" outline="0" fieldPosition="0">
        <references count="2">
          <reference field="4294967294" count="1" selected="0">
            <x v="0"/>
          </reference>
          <reference field="3" count="1" selected="0">
            <x v="1"/>
          </reference>
        </references>
      </pivotArea>
    </chartFormat>
    <chartFormat chart="9" format="3">
      <pivotArea type="data" outline="0" fieldPosition="0">
        <references count="2">
          <reference field="4294967294" count="1" selected="0">
            <x v="0"/>
          </reference>
          <reference field="3" count="1" selected="0">
            <x v="4"/>
          </reference>
        </references>
      </pivotArea>
    </chartFormat>
    <chartFormat chart="9" format="4">
      <pivotArea type="data" outline="0" fieldPosition="0">
        <references count="2">
          <reference field="4294967294" count="1" selected="0">
            <x v="0"/>
          </reference>
          <reference field="3" count="1" selected="0">
            <x v="5"/>
          </reference>
        </references>
      </pivotArea>
    </chartFormat>
    <chartFormat chart="9" format="5">
      <pivotArea type="data" outline="0" fieldPosition="0">
        <references count="2">
          <reference field="4294967294" count="1" selected="0">
            <x v="0"/>
          </reference>
          <reference field="3" count="1" selected="0">
            <x v="6"/>
          </reference>
        </references>
      </pivotArea>
    </chartFormat>
    <chartFormat chart="9" format="6">
      <pivotArea type="data" outline="0" fieldPosition="0">
        <references count="2">
          <reference field="4294967294" count="1" selected="0">
            <x v="0"/>
          </reference>
          <reference field="3" count="1" selected="0">
            <x v="8"/>
          </reference>
        </references>
      </pivotArea>
    </chartFormat>
    <chartFormat chart="9" format="7">
      <pivotArea type="data" outline="0" fieldPosition="0">
        <references count="2">
          <reference field="4294967294" count="1" selected="0">
            <x v="0"/>
          </reference>
          <reference field="3" count="1" selected="0">
            <x v="14"/>
          </reference>
        </references>
      </pivotArea>
    </chartFormat>
    <chartFormat chart="9" format="8">
      <pivotArea type="data" outline="0" fieldPosition="0">
        <references count="2">
          <reference field="4294967294" count="1" selected="0">
            <x v="0"/>
          </reference>
          <reference field="3" count="1" selected="0">
            <x v="16"/>
          </reference>
        </references>
      </pivotArea>
    </chartFormat>
    <chartFormat chart="9" format="9">
      <pivotArea type="data" outline="0" fieldPosition="0">
        <references count="2">
          <reference field="4294967294" count="1" selected="0">
            <x v="0"/>
          </reference>
          <reference field="3" count="1" selected="0">
            <x v="17"/>
          </reference>
        </references>
      </pivotArea>
    </chartFormat>
    <chartFormat chart="9" format="10">
      <pivotArea type="data" outline="0" fieldPosition="0">
        <references count="2">
          <reference field="4294967294" count="1" selected="0">
            <x v="0"/>
          </reference>
          <reference field="3" count="1" selected="0">
            <x v="18"/>
          </reference>
        </references>
      </pivotArea>
    </chartFormat>
    <chartFormat chart="9" format="11">
      <pivotArea type="data" outline="0" fieldPosition="0">
        <references count="2">
          <reference field="4294967294" count="1" selected="0">
            <x v="0"/>
          </reference>
          <reference field="3" count="1" selected="0">
            <x v="19"/>
          </reference>
        </references>
      </pivotArea>
    </chartFormat>
    <chartFormat chart="28" format="25" series="1">
      <pivotArea type="data" outline="0" fieldPosition="0">
        <references count="1">
          <reference field="4294967294" count="1" selected="0">
            <x v="0"/>
          </reference>
        </references>
      </pivotArea>
    </chartFormat>
    <chartFormat chart="28" format="26">
      <pivotArea type="data" outline="0" fieldPosition="0">
        <references count="2">
          <reference field="4294967294" count="1" selected="0">
            <x v="0"/>
          </reference>
          <reference field="3" count="1" selected="0">
            <x v="0"/>
          </reference>
        </references>
      </pivotArea>
    </chartFormat>
    <chartFormat chart="28" format="27">
      <pivotArea type="data" outline="0" fieldPosition="0">
        <references count="2">
          <reference field="4294967294" count="1" selected="0">
            <x v="0"/>
          </reference>
          <reference field="3" count="1" selected="0">
            <x v="1"/>
          </reference>
        </references>
      </pivotArea>
    </chartFormat>
    <chartFormat chart="28" format="28">
      <pivotArea type="data" outline="0" fieldPosition="0">
        <references count="2">
          <reference field="4294967294" count="1" selected="0">
            <x v="0"/>
          </reference>
          <reference field="3" count="1" selected="0">
            <x v="4"/>
          </reference>
        </references>
      </pivotArea>
    </chartFormat>
    <chartFormat chart="28" format="29">
      <pivotArea type="data" outline="0" fieldPosition="0">
        <references count="2">
          <reference field="4294967294" count="1" selected="0">
            <x v="0"/>
          </reference>
          <reference field="3" count="1" selected="0">
            <x v="5"/>
          </reference>
        </references>
      </pivotArea>
    </chartFormat>
    <chartFormat chart="28" format="30">
      <pivotArea type="data" outline="0" fieldPosition="0">
        <references count="2">
          <reference field="4294967294" count="1" selected="0">
            <x v="0"/>
          </reference>
          <reference field="3" count="1" selected="0">
            <x v="6"/>
          </reference>
        </references>
      </pivotArea>
    </chartFormat>
    <chartFormat chart="28" format="31">
      <pivotArea type="data" outline="0" fieldPosition="0">
        <references count="2">
          <reference field="4294967294" count="1" selected="0">
            <x v="0"/>
          </reference>
          <reference field="3" count="1" selected="0">
            <x v="8"/>
          </reference>
        </references>
      </pivotArea>
    </chartFormat>
    <chartFormat chart="28" format="32">
      <pivotArea type="data" outline="0" fieldPosition="0">
        <references count="2">
          <reference field="4294967294" count="1" selected="0">
            <x v="0"/>
          </reference>
          <reference field="3" count="1" selected="0">
            <x v="16"/>
          </reference>
        </references>
      </pivotArea>
    </chartFormat>
    <chartFormat chart="28" format="33">
      <pivotArea type="data" outline="0" fieldPosition="0">
        <references count="2">
          <reference field="4294967294" count="1" selected="0">
            <x v="0"/>
          </reference>
          <reference field="3" count="1" selected="0">
            <x v="18"/>
          </reference>
        </references>
      </pivotArea>
    </chartFormat>
    <chartFormat chart="28" format="34">
      <pivotArea type="data" outline="0" fieldPosition="0">
        <references count="2">
          <reference field="4294967294" count="1" selected="0">
            <x v="0"/>
          </reference>
          <reference field="3" count="1" selected="0">
            <x v="19"/>
          </reference>
        </references>
      </pivotArea>
    </chartFormat>
  </chartFormats>
  <pivotTableStyleInfo name="PivotStyleLight16" showRowHeaders="1" showColHeaders="1" showRowStripes="0" showColStripes="0" showLastColumn="1"/>
  <filters count="1">
    <filter fld="3" type="valueGreaterThanOrEqual" evalOrder="-1" id="2" iMeasureFld="0">
      <autoFilter ref="A1">
        <filterColumn colId="0">
          <customFilters>
            <customFilter operator="greaterThanOrEqual" val="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E72A130-C41B-428A-A962-379A4245162F}"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77:B79" firstHeaderRow="1" firstDataRow="1" firstDataCol="1"/>
  <pivotFields count="7">
    <pivotField axis="axisRow" showAll="0" measureFilter="1">
      <items count="624">
        <item x="23"/>
        <item x="427"/>
        <item x="291"/>
        <item x="4"/>
        <item x="300"/>
        <item x="571"/>
        <item x="29"/>
        <item x="550"/>
        <item x="535"/>
        <item x="595"/>
        <item x="486"/>
        <item x="198"/>
        <item x="588"/>
        <item x="524"/>
        <item x="209"/>
        <item x="278"/>
        <item x="152"/>
        <item x="482"/>
        <item x="257"/>
        <item x="24"/>
        <item x="154"/>
        <item x="83"/>
        <item x="135"/>
        <item x="288"/>
        <item x="118"/>
        <item x="515"/>
        <item x="189"/>
        <item x="228"/>
        <item x="261"/>
        <item x="128"/>
        <item x="39"/>
        <item x="54"/>
        <item x="240"/>
        <item x="210"/>
        <item x="115"/>
        <item x="477"/>
        <item x="132"/>
        <item x="35"/>
        <item x="117"/>
        <item x="593"/>
        <item x="425"/>
        <item x="620"/>
        <item x="65"/>
        <item x="603"/>
        <item x="553"/>
        <item x="385"/>
        <item x="449"/>
        <item x="540"/>
        <item x="406"/>
        <item x="351"/>
        <item x="391"/>
        <item x="615"/>
        <item x="539"/>
        <item x="393"/>
        <item x="302"/>
        <item x="227"/>
        <item x="433"/>
        <item x="253"/>
        <item x="468"/>
        <item x="578"/>
        <item x="390"/>
        <item x="120"/>
        <item x="458"/>
        <item x="284"/>
        <item x="376"/>
        <item x="375"/>
        <item x="47"/>
        <item x="192"/>
        <item x="30"/>
        <item x="138"/>
        <item x="129"/>
        <item x="57"/>
        <item x="51"/>
        <item x="252"/>
        <item x="63"/>
        <item x="585"/>
        <item x="594"/>
        <item x="106"/>
        <item x="212"/>
        <item x="169"/>
        <item x="396"/>
        <item x="350"/>
        <item x="157"/>
        <item x="25"/>
        <item x="529"/>
        <item x="537"/>
        <item x="565"/>
        <item x="277"/>
        <item x="99"/>
        <item x="256"/>
        <item x="70"/>
        <item x="68"/>
        <item x="37"/>
        <item x="431"/>
        <item x="454"/>
        <item x="518"/>
        <item x="103"/>
        <item x="92"/>
        <item x="547"/>
        <item x="133"/>
        <item x="247"/>
        <item x="504"/>
        <item x="380"/>
        <item x="131"/>
        <item x="361"/>
        <item x="387"/>
        <item x="419"/>
        <item x="199"/>
        <item x="5"/>
        <item x="20"/>
        <item x="87"/>
        <item x="146"/>
        <item x="397"/>
        <item x="156"/>
        <item x="6"/>
        <item x="309"/>
        <item x="619"/>
        <item x="592"/>
        <item x="347"/>
        <item x="544"/>
        <item x="599"/>
        <item x="448"/>
        <item x="343"/>
        <item x="110"/>
        <item x="583"/>
        <item x="395"/>
        <item x="50"/>
        <item x="158"/>
        <item x="525"/>
        <item x="58"/>
        <item x="266"/>
        <item x="445"/>
        <item x="298"/>
        <item x="85"/>
        <item x="53"/>
        <item x="455"/>
        <item x="605"/>
        <item x="19"/>
        <item x="36"/>
        <item x="167"/>
        <item x="422"/>
        <item x="76"/>
        <item x="568"/>
        <item x="108"/>
        <item x="184"/>
        <item x="282"/>
        <item x="204"/>
        <item x="84"/>
        <item x="31"/>
        <item x="271"/>
        <item x="344"/>
        <item x="502"/>
        <item x="411"/>
        <item x="559"/>
        <item x="116"/>
        <item x="151"/>
        <item x="297"/>
        <item x="581"/>
        <item x="18"/>
        <item x="597"/>
        <item x="412"/>
        <item x="270"/>
        <item x="44"/>
        <item x="562"/>
        <item x="162"/>
        <item x="41"/>
        <item x="46"/>
        <item x="285"/>
        <item x="111"/>
        <item x="93"/>
        <item x="546"/>
        <item x="364"/>
        <item x="607"/>
        <item x="398"/>
        <item x="609"/>
        <item x="471"/>
        <item x="336"/>
        <item x="143"/>
        <item x="194"/>
        <item x="224"/>
        <item x="604"/>
        <item x="188"/>
        <item x="596"/>
        <item x="379"/>
        <item x="494"/>
        <item x="435"/>
        <item x="269"/>
        <item x="601"/>
        <item x="172"/>
        <item x="22"/>
        <item x="394"/>
        <item x="296"/>
        <item x="440"/>
        <item x="505"/>
        <item x="265"/>
        <item x="203"/>
        <item x="381"/>
        <item x="113"/>
        <item x="555"/>
        <item x="532"/>
        <item x="77"/>
        <item x="341"/>
        <item x="38"/>
        <item x="428"/>
        <item x="2"/>
        <item x="329"/>
        <item x="34"/>
        <item x="424"/>
        <item x="447"/>
        <item x="316"/>
        <item x="241"/>
        <item x="399"/>
        <item x="618"/>
        <item x="509"/>
        <item x="542"/>
        <item x="337"/>
        <item x="561"/>
        <item x="1"/>
        <item x="145"/>
        <item x="392"/>
        <item x="452"/>
        <item x="320"/>
        <item x="161"/>
        <item x="357"/>
        <item x="294"/>
        <item x="331"/>
        <item x="359"/>
        <item x="389"/>
        <item x="96"/>
        <item x="213"/>
        <item x="439"/>
        <item x="576"/>
        <item x="503"/>
        <item x="409"/>
        <item x="174"/>
        <item x="208"/>
        <item x="160"/>
        <item x="483"/>
        <item x="201"/>
        <item x="219"/>
        <item x="459"/>
        <item x="358"/>
        <item x="263"/>
        <item x="557"/>
        <item x="332"/>
        <item x="369"/>
        <item x="153"/>
        <item x="244"/>
        <item x="193"/>
        <item x="195"/>
        <item x="319"/>
        <item x="612"/>
        <item x="474"/>
        <item x="456"/>
        <item x="104"/>
        <item x="134"/>
        <item x="437"/>
        <item x="27"/>
        <item x="14"/>
        <item x="243"/>
        <item x="574"/>
        <item x="142"/>
        <item x="570"/>
        <item x="522"/>
        <item x="305"/>
        <item x="109"/>
        <item x="434"/>
        <item x="322"/>
        <item x="95"/>
        <item x="489"/>
        <item x="621"/>
        <item x="60"/>
        <item x="283"/>
        <item x="382"/>
        <item x="506"/>
        <item x="552"/>
        <item x="112"/>
        <item x="273"/>
        <item x="102"/>
        <item x="386"/>
        <item x="268"/>
        <item x="196"/>
        <item x="512"/>
        <item x="73"/>
        <item x="281"/>
        <item x="187"/>
        <item x="308"/>
        <item x="307"/>
        <item x="346"/>
        <item x="255"/>
        <item x="342"/>
        <item x="223"/>
        <item x="325"/>
        <item x="500"/>
        <item x="501"/>
        <item x="258"/>
        <item x="438"/>
        <item x="125"/>
        <item x="584"/>
        <item x="94"/>
        <item x="260"/>
        <item x="17"/>
        <item x="293"/>
        <item x="495"/>
        <item x="374"/>
        <item x="326"/>
        <item x="26"/>
        <item x="408"/>
        <item x="429"/>
        <item x="249"/>
        <item x="254"/>
        <item x="8"/>
        <item x="12"/>
        <item x="119"/>
        <item x="28"/>
        <item x="441"/>
        <item x="580"/>
        <item x="49"/>
        <item x="43"/>
        <item x="267"/>
        <item x="32"/>
        <item x="279"/>
        <item x="516"/>
        <item x="173"/>
        <item x="606"/>
        <item x="168"/>
        <item x="423"/>
        <item x="538"/>
        <item x="124"/>
        <item x="155"/>
        <item x="237"/>
        <item x="402"/>
        <item x="66"/>
        <item x="404"/>
        <item x="426"/>
        <item x="321"/>
        <item x="513"/>
        <item x="355"/>
        <item x="554"/>
        <item x="365"/>
        <item x="517"/>
        <item x="301"/>
        <item x="317"/>
        <item x="311"/>
        <item x="377"/>
        <item x="98"/>
        <item x="211"/>
        <item x="61"/>
        <item x="368"/>
        <item x="140"/>
        <item x="82"/>
        <item x="334"/>
        <item x="600"/>
        <item x="121"/>
        <item x="16"/>
        <item x="48"/>
        <item x="245"/>
        <item x="225"/>
        <item x="186"/>
        <item x="304"/>
        <item x="556"/>
        <item x="246"/>
        <item x="100"/>
        <item x="299"/>
        <item x="496"/>
        <item x="484"/>
        <item x="566"/>
        <item x="469"/>
        <item x="372"/>
        <item x="91"/>
        <item x="485"/>
        <item x="442"/>
        <item x="499"/>
        <item x="528"/>
        <item x="582"/>
        <item x="148"/>
        <item x="487"/>
        <item x="462"/>
        <item x="139"/>
        <item x="222"/>
        <item x="89"/>
        <item x="59"/>
        <item x="64"/>
        <item x="622"/>
        <item x="446"/>
        <item x="472"/>
        <item x="276"/>
        <item x="356"/>
        <item x="569"/>
        <item x="354"/>
        <item x="328"/>
        <item x="127"/>
        <item x="534"/>
        <item x="610"/>
        <item x="480"/>
        <item x="229"/>
        <item x="461"/>
        <item x="264"/>
        <item x="202"/>
        <item x="97"/>
        <item x="42"/>
        <item x="101"/>
        <item x="163"/>
        <item x="114"/>
        <item x="318"/>
        <item x="338"/>
        <item x="233"/>
        <item x="470"/>
        <item x="481"/>
        <item x="55"/>
        <item x="289"/>
        <item x="460"/>
        <item x="575"/>
        <item x="353"/>
        <item x="166"/>
        <item x="613"/>
        <item x="122"/>
        <item x="586"/>
        <item x="508"/>
        <item x="519"/>
        <item x="349"/>
        <item x="348"/>
        <item x="488"/>
        <item x="274"/>
        <item x="130"/>
        <item x="81"/>
        <item x="533"/>
        <item x="465"/>
        <item x="147"/>
        <item x="466"/>
        <item x="78"/>
        <item x="339"/>
        <item x="214"/>
        <item x="79"/>
        <item x="286"/>
        <item x="467"/>
        <item x="345"/>
        <item x="418"/>
        <item x="9"/>
        <item x="333"/>
        <item x="567"/>
        <item x="415"/>
        <item x="527"/>
        <item x="295"/>
        <item x="479"/>
        <item x="616"/>
        <item x="262"/>
        <item x="181"/>
        <item x="450"/>
        <item x="545"/>
        <item x="475"/>
        <item x="579"/>
        <item x="414"/>
        <item x="617"/>
        <item x="206"/>
        <item x="312"/>
        <item x="564"/>
        <item x="190"/>
        <item x="165"/>
        <item x="197"/>
        <item x="287"/>
        <item x="56"/>
        <item x="551"/>
        <item x="436"/>
        <item x="602"/>
        <item x="205"/>
        <item x="259"/>
        <item x="476"/>
        <item x="159"/>
        <item x="141"/>
        <item x="589"/>
        <item x="126"/>
        <item x="272"/>
        <item x="0"/>
        <item x="491"/>
        <item x="520"/>
        <item x="473"/>
        <item x="451"/>
        <item x="226"/>
        <item x="62"/>
        <item x="388"/>
        <item x="543"/>
        <item x="421"/>
        <item x="182"/>
        <item x="614"/>
        <item x="577"/>
        <item x="572"/>
        <item x="521"/>
        <item x="453"/>
        <item x="170"/>
        <item x="558"/>
        <item x="413"/>
        <item x="430"/>
        <item x="492"/>
        <item x="563"/>
        <item x="507"/>
        <item x="327"/>
        <item x="384"/>
        <item x="324"/>
        <item x="171"/>
        <item x="573"/>
        <item x="303"/>
        <item x="90"/>
        <item x="88"/>
        <item x="216"/>
        <item x="590"/>
        <item x="290"/>
        <item x="69"/>
        <item x="80"/>
        <item x="313"/>
        <item x="149"/>
        <item x="292"/>
        <item x="373"/>
        <item x="457"/>
        <item x="371"/>
        <item x="523"/>
        <item x="231"/>
        <item x="378"/>
        <item x="230"/>
        <item x="416"/>
        <item x="52"/>
        <item x="21"/>
        <item x="137"/>
        <item x="234"/>
        <item x="383"/>
        <item x="15"/>
        <item x="191"/>
        <item x="251"/>
        <item x="218"/>
        <item x="400"/>
        <item x="176"/>
        <item x="183"/>
        <item x="363"/>
        <item x="221"/>
        <item x="71"/>
        <item x="490"/>
        <item x="242"/>
        <item x="207"/>
        <item x="236"/>
        <item x="410"/>
        <item x="275"/>
        <item x="123"/>
        <item x="13"/>
        <item x="536"/>
        <item x="541"/>
        <item x="352"/>
        <item x="478"/>
        <item x="10"/>
        <item x="370"/>
        <item x="598"/>
        <item x="360"/>
        <item x="403"/>
        <item x="367"/>
        <item x="220"/>
        <item x="67"/>
        <item x="177"/>
        <item x="86"/>
        <item x="407"/>
        <item x="107"/>
        <item x="235"/>
        <item x="74"/>
        <item x="323"/>
        <item x="200"/>
        <item x="180"/>
        <item x="215"/>
        <item x="366"/>
        <item x="549"/>
        <item x="611"/>
        <item x="420"/>
        <item x="314"/>
        <item x="401"/>
        <item x="514"/>
        <item x="238"/>
        <item x="587"/>
        <item x="144"/>
        <item x="417"/>
        <item x="464"/>
        <item x="280"/>
        <item x="340"/>
        <item x="531"/>
        <item x="185"/>
        <item x="608"/>
        <item x="530"/>
        <item x="239"/>
        <item x="548"/>
        <item x="432"/>
        <item x="179"/>
        <item x="45"/>
        <item x="232"/>
        <item x="510"/>
        <item x="315"/>
        <item x="498"/>
        <item x="164"/>
        <item x="40"/>
        <item x="330"/>
        <item x="335"/>
        <item x="306"/>
        <item x="497"/>
        <item x="248"/>
        <item x="444"/>
        <item x="591"/>
        <item x="75"/>
        <item x="136"/>
        <item x="250"/>
        <item x="72"/>
        <item x="217"/>
        <item x="560"/>
        <item x="443"/>
        <item x="33"/>
        <item x="11"/>
        <item x="7"/>
        <item x="175"/>
        <item x="526"/>
        <item x="3"/>
        <item x="463"/>
        <item x="105"/>
        <item x="493"/>
        <item x="511"/>
        <item x="310"/>
        <item x="405"/>
        <item x="362"/>
        <item x="150"/>
        <item x="178"/>
        <item t="default"/>
      </items>
    </pivotField>
    <pivotField showAll="0"/>
    <pivotField dataField="1" showAll="0">
      <items count="284">
        <item x="37"/>
        <item x="168"/>
        <item x="282"/>
        <item x="267"/>
        <item x="269"/>
        <item x="237"/>
        <item x="110"/>
        <item x="272"/>
        <item x="248"/>
        <item x="250"/>
        <item x="262"/>
        <item x="279"/>
        <item x="252"/>
        <item x="202"/>
        <item x="55"/>
        <item x="222"/>
        <item x="42"/>
        <item x="270"/>
        <item x="142"/>
        <item x="38"/>
        <item x="275"/>
        <item x="40"/>
        <item x="233"/>
        <item x="241"/>
        <item x="249"/>
        <item x="236"/>
        <item x="41"/>
        <item x="101"/>
        <item x="205"/>
        <item x="234"/>
        <item x="229"/>
        <item x="124"/>
        <item x="147"/>
        <item x="172"/>
        <item x="126"/>
        <item x="271"/>
        <item x="223"/>
        <item x="166"/>
        <item x="119"/>
        <item x="191"/>
        <item x="280"/>
        <item x="108"/>
        <item x="193"/>
        <item x="149"/>
        <item x="261"/>
        <item x="274"/>
        <item x="208"/>
        <item x="146"/>
        <item x="214"/>
        <item x="23"/>
        <item x="177"/>
        <item x="206"/>
        <item x="105"/>
        <item x="129"/>
        <item x="139"/>
        <item x="260"/>
        <item x="281"/>
        <item x="228"/>
        <item x="50"/>
        <item x="138"/>
        <item x="22"/>
        <item x="117"/>
        <item x="36"/>
        <item x="212"/>
        <item x="11"/>
        <item x="175"/>
        <item x="34"/>
        <item x="251"/>
        <item x="243"/>
        <item x="185"/>
        <item x="43"/>
        <item x="72"/>
        <item x="97"/>
        <item x="102"/>
        <item x="150"/>
        <item x="176"/>
        <item x="235"/>
        <item x="51"/>
        <item x="154"/>
        <item x="53"/>
        <item x="85"/>
        <item x="125"/>
        <item x="221"/>
        <item x="128"/>
        <item x="201"/>
        <item x="78"/>
        <item x="192"/>
        <item x="33"/>
        <item x="257"/>
        <item x="121"/>
        <item x="99"/>
        <item x="170"/>
        <item x="16"/>
        <item x="28"/>
        <item x="32"/>
        <item x="118"/>
        <item x="100"/>
        <item x="137"/>
        <item x="95"/>
        <item x="7"/>
        <item x="14"/>
        <item x="200"/>
        <item x="226"/>
        <item x="73"/>
        <item x="157"/>
        <item x="140"/>
        <item x="204"/>
        <item x="94"/>
        <item x="165"/>
        <item x="35"/>
        <item x="106"/>
        <item x="15"/>
        <item x="29"/>
        <item x="123"/>
        <item x="153"/>
        <item x="156"/>
        <item x="174"/>
        <item x="77"/>
        <item x="184"/>
        <item x="71"/>
        <item x="278"/>
        <item x="66"/>
        <item x="67"/>
        <item x="26"/>
        <item x="225"/>
        <item x="148"/>
        <item x="30"/>
        <item x="242"/>
        <item x="122"/>
        <item x="258"/>
        <item x="115"/>
        <item x="24"/>
        <item x="158"/>
        <item x="136"/>
        <item x="211"/>
        <item x="74"/>
        <item x="240"/>
        <item x="19"/>
        <item x="164"/>
        <item x="120"/>
        <item x="86"/>
        <item x="103"/>
        <item x="203"/>
        <item x="107"/>
        <item x="98"/>
        <item x="21"/>
        <item x="17"/>
        <item x="9"/>
        <item x="213"/>
        <item x="219"/>
        <item x="224"/>
        <item x="199"/>
        <item x="160"/>
        <item x="255"/>
        <item x="12"/>
        <item x="84"/>
        <item x="54"/>
        <item x="173"/>
        <item x="70"/>
        <item x="25"/>
        <item x="141"/>
        <item x="10"/>
        <item x="109"/>
        <item x="65"/>
        <item x="167"/>
        <item x="69"/>
        <item x="46"/>
        <item x="8"/>
        <item x="171"/>
        <item x="52"/>
        <item x="45"/>
        <item x="161"/>
        <item x="13"/>
        <item x="96"/>
        <item x="59"/>
        <item x="49"/>
        <item x="182"/>
        <item x="116"/>
        <item x="39"/>
        <item x="217"/>
        <item x="93"/>
        <item x="273"/>
        <item x="89"/>
        <item x="163"/>
        <item x="127"/>
        <item x="20"/>
        <item x="83"/>
        <item x="218"/>
        <item x="245"/>
        <item x="169"/>
        <item x="196"/>
        <item x="155"/>
        <item x="259"/>
        <item x="189"/>
        <item x="76"/>
        <item x="227"/>
        <item x="180"/>
        <item x="131"/>
        <item x="31"/>
        <item x="47"/>
        <item x="198"/>
        <item x="61"/>
        <item x="220"/>
        <item x="216"/>
        <item x="48"/>
        <item x="92"/>
        <item x="133"/>
        <item x="179"/>
        <item x="68"/>
        <item x="190"/>
        <item x="210"/>
        <item x="82"/>
        <item x="268"/>
        <item x="132"/>
        <item x="162"/>
        <item x="256"/>
        <item x="253"/>
        <item x="63"/>
        <item x="75"/>
        <item x="194"/>
        <item x="231"/>
        <item x="188"/>
        <item x="134"/>
        <item x="197"/>
        <item x="195"/>
        <item x="5"/>
        <item x="232"/>
        <item x="112"/>
        <item x="135"/>
        <item x="44"/>
        <item x="3"/>
        <item x="181"/>
        <item x="2"/>
        <item x="80"/>
        <item x="79"/>
        <item x="265"/>
        <item x="91"/>
        <item x="114"/>
        <item x="60"/>
        <item x="238"/>
        <item x="81"/>
        <item x="87"/>
        <item x="152"/>
        <item x="64"/>
        <item x="246"/>
        <item x="104"/>
        <item x="6"/>
        <item x="18"/>
        <item x="209"/>
        <item x="111"/>
        <item x="239"/>
        <item x="27"/>
        <item x="247"/>
        <item x="62"/>
        <item x="57"/>
        <item x="264"/>
        <item x="58"/>
        <item x="130"/>
        <item x="230"/>
        <item x="88"/>
        <item x="159"/>
        <item x="178"/>
        <item x="254"/>
        <item x="145"/>
        <item x="207"/>
        <item x="277"/>
        <item x="1"/>
        <item x="144"/>
        <item x="183"/>
        <item x="113"/>
        <item x="4"/>
        <item x="143"/>
        <item x="244"/>
        <item x="266"/>
        <item x="215"/>
        <item x="187"/>
        <item x="90"/>
        <item x="276"/>
        <item x="0"/>
        <item x="263"/>
        <item x="151"/>
        <item x="56"/>
        <item x="186"/>
        <item t="default"/>
      </items>
    </pivotField>
    <pivotField showAll="0">
      <items count="23">
        <item x="1"/>
        <item x="0"/>
        <item x="11"/>
        <item x="18"/>
        <item x="7"/>
        <item x="3"/>
        <item x="2"/>
        <item x="15"/>
        <item x="5"/>
        <item x="21"/>
        <item x="10"/>
        <item x="12"/>
        <item x="16"/>
        <item x="13"/>
        <item x="6"/>
        <item x="14"/>
        <item x="4"/>
        <item x="8"/>
        <item x="9"/>
        <item x="17"/>
        <item x="20"/>
        <item x="19"/>
        <item t="default"/>
      </items>
    </pivotField>
    <pivotField showAll="0"/>
    <pivotField showAll="0">
      <items count="7">
        <item x="5"/>
        <item x="4"/>
        <item x="3"/>
        <item x="2"/>
        <item x="1"/>
        <item x="0"/>
        <item t="default"/>
      </items>
    </pivotField>
    <pivotField showAll="0">
      <items count="5">
        <item x="3"/>
        <item x="1"/>
        <item x="2"/>
        <item x="0"/>
        <item t="default"/>
      </items>
    </pivotField>
  </pivotFields>
  <rowFields count="1">
    <field x="0"/>
  </rowFields>
  <rowItems count="2">
    <i>
      <x v="472"/>
    </i>
    <i t="grand">
      <x/>
    </i>
  </rowItems>
  <colItems count="1">
    <i/>
  </colItems>
  <dataFields count="1">
    <dataField name="Average of Rating/Score" fld="2" subtotal="average" baseField="0" baseItem="0"/>
  </dataFields>
  <pivotTableStyleInfo name="PivotStyleLight16" showRowHeaders="1" showColHeaders="1" showRowStripes="0" showColStripes="0" showLastColumn="1"/>
  <filters count="1">
    <filter fld="0" type="count" evalOrder="-1" id="6"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801A5C5-D680-45F4-A2FD-8A38261C16C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64:A65" firstHeaderRow="1" firstDataRow="1" firstDataCol="0"/>
  <pivotFields count="7">
    <pivotField showAll="0" measureFilter="1" sortType="ascending">
      <items count="624">
        <item x="23"/>
        <item x="427"/>
        <item x="291"/>
        <item x="4"/>
        <item x="300"/>
        <item x="571"/>
        <item x="29"/>
        <item x="550"/>
        <item x="535"/>
        <item x="595"/>
        <item x="486"/>
        <item x="198"/>
        <item x="588"/>
        <item x="524"/>
        <item x="209"/>
        <item x="278"/>
        <item x="152"/>
        <item x="482"/>
        <item x="257"/>
        <item x="24"/>
        <item x="154"/>
        <item x="83"/>
        <item x="135"/>
        <item x="288"/>
        <item x="118"/>
        <item x="515"/>
        <item x="189"/>
        <item x="228"/>
        <item x="261"/>
        <item x="128"/>
        <item x="39"/>
        <item x="54"/>
        <item x="240"/>
        <item x="210"/>
        <item x="115"/>
        <item x="477"/>
        <item x="132"/>
        <item x="35"/>
        <item x="117"/>
        <item x="593"/>
        <item x="425"/>
        <item x="620"/>
        <item x="65"/>
        <item x="603"/>
        <item x="553"/>
        <item x="385"/>
        <item x="449"/>
        <item x="540"/>
        <item x="406"/>
        <item x="351"/>
        <item x="391"/>
        <item x="615"/>
        <item x="539"/>
        <item x="393"/>
        <item x="302"/>
        <item x="227"/>
        <item x="433"/>
        <item x="253"/>
        <item x="468"/>
        <item x="578"/>
        <item x="390"/>
        <item x="120"/>
        <item x="458"/>
        <item x="284"/>
        <item x="376"/>
        <item x="375"/>
        <item x="47"/>
        <item x="192"/>
        <item x="30"/>
        <item x="138"/>
        <item x="129"/>
        <item x="57"/>
        <item x="51"/>
        <item x="252"/>
        <item x="63"/>
        <item x="585"/>
        <item x="594"/>
        <item x="106"/>
        <item x="212"/>
        <item x="169"/>
        <item x="396"/>
        <item x="350"/>
        <item x="157"/>
        <item x="25"/>
        <item x="529"/>
        <item x="537"/>
        <item x="565"/>
        <item x="277"/>
        <item x="99"/>
        <item x="256"/>
        <item x="70"/>
        <item x="68"/>
        <item x="37"/>
        <item x="431"/>
        <item x="454"/>
        <item x="518"/>
        <item x="103"/>
        <item x="92"/>
        <item x="547"/>
        <item x="133"/>
        <item x="247"/>
        <item x="504"/>
        <item x="380"/>
        <item x="131"/>
        <item x="361"/>
        <item x="387"/>
        <item x="419"/>
        <item x="199"/>
        <item x="5"/>
        <item x="20"/>
        <item x="87"/>
        <item x="146"/>
        <item x="397"/>
        <item x="156"/>
        <item x="6"/>
        <item x="309"/>
        <item x="619"/>
        <item x="592"/>
        <item x="347"/>
        <item x="544"/>
        <item x="599"/>
        <item x="448"/>
        <item x="343"/>
        <item x="110"/>
        <item x="583"/>
        <item x="395"/>
        <item x="50"/>
        <item x="158"/>
        <item x="525"/>
        <item x="58"/>
        <item x="266"/>
        <item x="445"/>
        <item x="298"/>
        <item x="85"/>
        <item x="53"/>
        <item x="455"/>
        <item x="605"/>
        <item x="19"/>
        <item x="36"/>
        <item x="167"/>
        <item x="422"/>
        <item x="76"/>
        <item x="568"/>
        <item x="108"/>
        <item x="184"/>
        <item x="282"/>
        <item x="204"/>
        <item x="84"/>
        <item x="31"/>
        <item x="271"/>
        <item x="344"/>
        <item x="502"/>
        <item x="411"/>
        <item x="559"/>
        <item x="116"/>
        <item x="151"/>
        <item x="297"/>
        <item x="581"/>
        <item x="18"/>
        <item x="597"/>
        <item x="412"/>
        <item x="270"/>
        <item x="44"/>
        <item x="562"/>
        <item x="162"/>
        <item x="41"/>
        <item x="46"/>
        <item x="285"/>
        <item x="111"/>
        <item x="93"/>
        <item x="546"/>
        <item x="364"/>
        <item x="607"/>
        <item x="398"/>
        <item x="609"/>
        <item x="471"/>
        <item x="336"/>
        <item x="143"/>
        <item x="194"/>
        <item x="224"/>
        <item x="604"/>
        <item x="188"/>
        <item x="596"/>
        <item x="379"/>
        <item x="494"/>
        <item x="435"/>
        <item x="269"/>
        <item x="601"/>
        <item x="172"/>
        <item x="22"/>
        <item x="394"/>
        <item x="296"/>
        <item x="440"/>
        <item x="505"/>
        <item x="265"/>
        <item x="203"/>
        <item x="381"/>
        <item x="113"/>
        <item x="555"/>
        <item x="532"/>
        <item x="77"/>
        <item x="341"/>
        <item x="38"/>
        <item x="428"/>
        <item x="2"/>
        <item x="329"/>
        <item x="34"/>
        <item x="424"/>
        <item x="447"/>
        <item x="316"/>
        <item x="241"/>
        <item x="399"/>
        <item x="618"/>
        <item x="509"/>
        <item x="542"/>
        <item x="337"/>
        <item x="561"/>
        <item x="1"/>
        <item x="145"/>
        <item x="392"/>
        <item x="452"/>
        <item x="320"/>
        <item x="161"/>
        <item x="357"/>
        <item x="294"/>
        <item x="331"/>
        <item x="359"/>
        <item x="389"/>
        <item x="96"/>
        <item x="213"/>
        <item x="439"/>
        <item x="576"/>
        <item x="503"/>
        <item x="409"/>
        <item x="174"/>
        <item x="208"/>
        <item x="160"/>
        <item x="483"/>
        <item x="201"/>
        <item x="219"/>
        <item x="459"/>
        <item x="358"/>
        <item x="263"/>
        <item x="557"/>
        <item x="332"/>
        <item x="369"/>
        <item x="153"/>
        <item x="244"/>
        <item x="193"/>
        <item x="195"/>
        <item x="319"/>
        <item x="612"/>
        <item x="474"/>
        <item x="456"/>
        <item x="104"/>
        <item x="134"/>
        <item x="437"/>
        <item x="27"/>
        <item x="14"/>
        <item x="243"/>
        <item x="574"/>
        <item x="142"/>
        <item x="570"/>
        <item x="522"/>
        <item x="305"/>
        <item x="109"/>
        <item x="434"/>
        <item x="322"/>
        <item x="95"/>
        <item x="489"/>
        <item x="621"/>
        <item x="60"/>
        <item x="283"/>
        <item x="382"/>
        <item x="506"/>
        <item x="552"/>
        <item x="112"/>
        <item x="273"/>
        <item x="102"/>
        <item x="386"/>
        <item x="268"/>
        <item x="196"/>
        <item x="512"/>
        <item x="73"/>
        <item x="281"/>
        <item x="187"/>
        <item x="308"/>
        <item x="307"/>
        <item x="346"/>
        <item x="255"/>
        <item x="342"/>
        <item x="223"/>
        <item x="325"/>
        <item x="500"/>
        <item x="501"/>
        <item x="258"/>
        <item x="438"/>
        <item x="125"/>
        <item x="584"/>
        <item x="94"/>
        <item x="260"/>
        <item x="17"/>
        <item x="293"/>
        <item x="495"/>
        <item x="374"/>
        <item x="326"/>
        <item x="26"/>
        <item x="408"/>
        <item x="429"/>
        <item x="249"/>
        <item x="254"/>
        <item x="8"/>
        <item x="12"/>
        <item x="119"/>
        <item x="28"/>
        <item x="441"/>
        <item x="580"/>
        <item x="49"/>
        <item x="43"/>
        <item x="267"/>
        <item x="32"/>
        <item x="279"/>
        <item x="516"/>
        <item x="173"/>
        <item x="606"/>
        <item x="168"/>
        <item x="423"/>
        <item x="538"/>
        <item x="124"/>
        <item x="155"/>
        <item x="237"/>
        <item x="402"/>
        <item x="66"/>
        <item x="404"/>
        <item x="426"/>
        <item x="321"/>
        <item x="513"/>
        <item x="355"/>
        <item x="554"/>
        <item x="365"/>
        <item x="517"/>
        <item x="301"/>
        <item x="317"/>
        <item x="311"/>
        <item x="377"/>
        <item x="98"/>
        <item x="211"/>
        <item x="61"/>
        <item x="368"/>
        <item x="140"/>
        <item x="82"/>
        <item x="334"/>
        <item x="600"/>
        <item x="121"/>
        <item x="16"/>
        <item x="48"/>
        <item x="245"/>
        <item x="225"/>
        <item x="186"/>
        <item x="304"/>
        <item x="556"/>
        <item x="246"/>
        <item x="100"/>
        <item x="299"/>
        <item x="496"/>
        <item x="484"/>
        <item x="566"/>
        <item x="469"/>
        <item x="372"/>
        <item x="91"/>
        <item x="485"/>
        <item x="442"/>
        <item x="499"/>
        <item x="528"/>
        <item x="582"/>
        <item x="148"/>
        <item x="487"/>
        <item x="462"/>
        <item x="139"/>
        <item x="222"/>
        <item x="89"/>
        <item x="59"/>
        <item x="64"/>
        <item x="622"/>
        <item x="446"/>
        <item x="472"/>
        <item x="276"/>
        <item x="356"/>
        <item x="569"/>
        <item x="354"/>
        <item x="328"/>
        <item x="127"/>
        <item x="534"/>
        <item x="610"/>
        <item x="480"/>
        <item x="229"/>
        <item x="461"/>
        <item x="264"/>
        <item x="202"/>
        <item x="97"/>
        <item x="42"/>
        <item x="101"/>
        <item x="163"/>
        <item x="114"/>
        <item x="318"/>
        <item x="338"/>
        <item x="233"/>
        <item x="470"/>
        <item x="481"/>
        <item x="55"/>
        <item x="289"/>
        <item x="460"/>
        <item x="575"/>
        <item x="353"/>
        <item x="166"/>
        <item x="613"/>
        <item x="122"/>
        <item x="586"/>
        <item x="508"/>
        <item x="519"/>
        <item x="349"/>
        <item x="348"/>
        <item x="488"/>
        <item x="274"/>
        <item x="130"/>
        <item x="81"/>
        <item x="533"/>
        <item x="465"/>
        <item x="147"/>
        <item x="466"/>
        <item x="78"/>
        <item x="339"/>
        <item x="214"/>
        <item x="79"/>
        <item x="286"/>
        <item x="467"/>
        <item x="345"/>
        <item x="418"/>
        <item x="9"/>
        <item x="333"/>
        <item x="567"/>
        <item x="415"/>
        <item x="527"/>
        <item x="295"/>
        <item x="479"/>
        <item x="616"/>
        <item x="262"/>
        <item x="181"/>
        <item x="450"/>
        <item x="545"/>
        <item x="475"/>
        <item x="579"/>
        <item x="414"/>
        <item x="617"/>
        <item x="206"/>
        <item x="312"/>
        <item x="564"/>
        <item x="190"/>
        <item x="165"/>
        <item x="197"/>
        <item x="287"/>
        <item x="56"/>
        <item x="551"/>
        <item x="436"/>
        <item x="602"/>
        <item x="205"/>
        <item x="259"/>
        <item x="476"/>
        <item x="159"/>
        <item x="141"/>
        <item x="589"/>
        <item x="126"/>
        <item x="272"/>
        <item x="0"/>
        <item x="491"/>
        <item x="520"/>
        <item x="473"/>
        <item x="451"/>
        <item x="226"/>
        <item x="62"/>
        <item x="388"/>
        <item x="543"/>
        <item x="421"/>
        <item x="182"/>
        <item x="614"/>
        <item x="577"/>
        <item x="572"/>
        <item x="521"/>
        <item x="453"/>
        <item x="170"/>
        <item x="558"/>
        <item x="413"/>
        <item x="430"/>
        <item x="492"/>
        <item x="563"/>
        <item x="507"/>
        <item x="327"/>
        <item x="384"/>
        <item x="324"/>
        <item x="171"/>
        <item x="573"/>
        <item x="303"/>
        <item x="90"/>
        <item x="88"/>
        <item x="216"/>
        <item x="590"/>
        <item x="290"/>
        <item x="69"/>
        <item x="80"/>
        <item x="313"/>
        <item x="149"/>
        <item x="292"/>
        <item x="373"/>
        <item x="457"/>
        <item x="371"/>
        <item x="523"/>
        <item x="231"/>
        <item x="378"/>
        <item x="230"/>
        <item x="416"/>
        <item x="52"/>
        <item x="21"/>
        <item x="137"/>
        <item x="234"/>
        <item x="383"/>
        <item x="15"/>
        <item x="191"/>
        <item x="251"/>
        <item x="218"/>
        <item x="400"/>
        <item x="176"/>
        <item x="183"/>
        <item x="363"/>
        <item x="221"/>
        <item x="71"/>
        <item x="490"/>
        <item x="242"/>
        <item x="207"/>
        <item x="236"/>
        <item x="410"/>
        <item x="275"/>
        <item x="123"/>
        <item x="13"/>
        <item x="536"/>
        <item x="541"/>
        <item x="352"/>
        <item x="478"/>
        <item x="10"/>
        <item x="370"/>
        <item x="598"/>
        <item x="360"/>
        <item x="403"/>
        <item x="367"/>
        <item x="220"/>
        <item x="67"/>
        <item x="177"/>
        <item x="86"/>
        <item x="407"/>
        <item x="107"/>
        <item x="235"/>
        <item x="74"/>
        <item x="323"/>
        <item x="200"/>
        <item x="180"/>
        <item x="215"/>
        <item x="366"/>
        <item x="549"/>
        <item x="611"/>
        <item x="420"/>
        <item x="314"/>
        <item x="401"/>
        <item x="514"/>
        <item x="238"/>
        <item x="587"/>
        <item x="144"/>
        <item x="417"/>
        <item x="464"/>
        <item x="280"/>
        <item x="340"/>
        <item x="531"/>
        <item x="185"/>
        <item x="608"/>
        <item x="530"/>
        <item x="239"/>
        <item x="548"/>
        <item x="432"/>
        <item x="179"/>
        <item x="45"/>
        <item x="232"/>
        <item x="510"/>
        <item x="315"/>
        <item x="498"/>
        <item x="164"/>
        <item x="40"/>
        <item x="330"/>
        <item x="335"/>
        <item x="306"/>
        <item x="497"/>
        <item x="248"/>
        <item x="444"/>
        <item x="591"/>
        <item x="75"/>
        <item x="136"/>
        <item x="250"/>
        <item x="72"/>
        <item x="217"/>
        <item x="560"/>
        <item x="443"/>
        <item x="33"/>
        <item x="11"/>
        <item x="7"/>
        <item x="175"/>
        <item x="526"/>
        <item x="3"/>
        <item x="463"/>
        <item x="105"/>
        <item x="493"/>
        <item x="511"/>
        <item x="310"/>
        <item x="405"/>
        <item x="362"/>
        <item x="150"/>
        <item x="178"/>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23">
        <item x="1"/>
        <item x="0"/>
        <item x="11"/>
        <item x="18"/>
        <item x="7"/>
        <item x="3"/>
        <item x="2"/>
        <item x="15"/>
        <item x="5"/>
        <item x="21"/>
        <item x="10"/>
        <item x="12"/>
        <item x="16"/>
        <item x="13"/>
        <item x="6"/>
        <item x="14"/>
        <item x="4"/>
        <item x="8"/>
        <item x="9"/>
        <item x="17"/>
        <item x="20"/>
        <item x="19"/>
        <item t="default"/>
      </items>
    </pivotField>
    <pivotField showAll="0"/>
    <pivotField showAll="0">
      <items count="7">
        <item x="5"/>
        <item x="4"/>
        <item x="3"/>
        <item x="2"/>
        <item x="1"/>
        <item x="0"/>
        <item t="default"/>
      </items>
    </pivotField>
    <pivotField showAll="0">
      <items count="5">
        <item x="3"/>
        <item x="1"/>
        <item x="2"/>
        <item x="0"/>
        <item t="default"/>
      </items>
    </pivotField>
  </pivotFields>
  <rowItems count="1">
    <i/>
  </rowItems>
  <colItems count="1">
    <i/>
  </colItems>
  <dataFields count="1">
    <dataField name="Average of Rating/Score" fld="2" subtotal="average" baseField="0" baseItem="0" numFmtId="2"/>
  </dataFields>
  <chartFormats count="3">
    <chartFormat chart="28"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D5CC5575-683F-4480-B437-720AC15950C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68:A69" firstHeaderRow="1" firstDataRow="1" firstDataCol="0"/>
  <pivotFields count="7">
    <pivotField dataField="1" showAll="0">
      <items count="624">
        <item x="23"/>
        <item x="427"/>
        <item x="291"/>
        <item x="4"/>
        <item x="300"/>
        <item x="571"/>
        <item x="29"/>
        <item x="550"/>
        <item x="535"/>
        <item x="595"/>
        <item x="486"/>
        <item x="198"/>
        <item x="588"/>
        <item x="524"/>
        <item x="209"/>
        <item x="278"/>
        <item x="152"/>
        <item x="482"/>
        <item x="257"/>
        <item x="24"/>
        <item x="154"/>
        <item x="83"/>
        <item x="135"/>
        <item x="288"/>
        <item x="118"/>
        <item x="515"/>
        <item x="189"/>
        <item x="228"/>
        <item x="261"/>
        <item x="128"/>
        <item x="39"/>
        <item x="54"/>
        <item x="240"/>
        <item x="210"/>
        <item x="115"/>
        <item x="477"/>
        <item x="132"/>
        <item x="35"/>
        <item x="117"/>
        <item x="593"/>
        <item x="425"/>
        <item x="620"/>
        <item x="65"/>
        <item x="603"/>
        <item x="553"/>
        <item x="385"/>
        <item x="449"/>
        <item x="540"/>
        <item x="406"/>
        <item x="351"/>
        <item x="391"/>
        <item x="615"/>
        <item x="539"/>
        <item x="393"/>
        <item x="302"/>
        <item x="227"/>
        <item x="433"/>
        <item x="253"/>
        <item x="468"/>
        <item x="578"/>
        <item x="390"/>
        <item x="120"/>
        <item x="458"/>
        <item x="284"/>
        <item x="376"/>
        <item x="375"/>
        <item x="47"/>
        <item x="192"/>
        <item x="30"/>
        <item x="138"/>
        <item x="129"/>
        <item x="57"/>
        <item x="51"/>
        <item x="252"/>
        <item x="63"/>
        <item x="585"/>
        <item x="594"/>
        <item x="106"/>
        <item x="212"/>
        <item x="169"/>
        <item x="396"/>
        <item x="350"/>
        <item x="157"/>
        <item x="25"/>
        <item x="529"/>
        <item x="537"/>
        <item x="565"/>
        <item x="277"/>
        <item x="99"/>
        <item x="256"/>
        <item x="70"/>
        <item x="68"/>
        <item x="37"/>
        <item x="431"/>
        <item x="454"/>
        <item x="518"/>
        <item x="103"/>
        <item x="92"/>
        <item x="547"/>
        <item x="133"/>
        <item x="247"/>
        <item x="504"/>
        <item x="380"/>
        <item x="131"/>
        <item x="361"/>
        <item x="387"/>
        <item x="419"/>
        <item x="199"/>
        <item x="5"/>
        <item x="20"/>
        <item x="87"/>
        <item x="146"/>
        <item x="397"/>
        <item x="156"/>
        <item x="6"/>
        <item x="309"/>
        <item x="619"/>
        <item x="592"/>
        <item x="347"/>
        <item x="544"/>
        <item x="599"/>
        <item x="448"/>
        <item x="343"/>
        <item x="110"/>
        <item x="583"/>
        <item x="395"/>
        <item x="50"/>
        <item x="158"/>
        <item x="525"/>
        <item x="58"/>
        <item x="266"/>
        <item x="445"/>
        <item x="298"/>
        <item x="85"/>
        <item x="53"/>
        <item x="455"/>
        <item x="605"/>
        <item x="19"/>
        <item x="36"/>
        <item x="167"/>
        <item x="422"/>
        <item x="76"/>
        <item x="568"/>
        <item x="108"/>
        <item x="184"/>
        <item x="282"/>
        <item x="204"/>
        <item x="84"/>
        <item x="31"/>
        <item x="271"/>
        <item x="344"/>
        <item x="502"/>
        <item x="411"/>
        <item x="559"/>
        <item x="116"/>
        <item x="151"/>
        <item x="297"/>
        <item x="581"/>
        <item x="18"/>
        <item x="597"/>
        <item x="412"/>
        <item x="270"/>
        <item x="44"/>
        <item x="562"/>
        <item x="162"/>
        <item x="41"/>
        <item x="46"/>
        <item x="285"/>
        <item x="111"/>
        <item x="93"/>
        <item x="546"/>
        <item x="364"/>
        <item x="607"/>
        <item x="398"/>
        <item x="609"/>
        <item x="471"/>
        <item x="336"/>
        <item x="143"/>
        <item x="194"/>
        <item x="224"/>
        <item x="604"/>
        <item x="188"/>
        <item x="596"/>
        <item x="379"/>
        <item x="494"/>
        <item x="435"/>
        <item x="269"/>
        <item x="601"/>
        <item x="172"/>
        <item x="22"/>
        <item x="394"/>
        <item x="296"/>
        <item x="440"/>
        <item x="505"/>
        <item x="265"/>
        <item x="203"/>
        <item x="381"/>
        <item x="113"/>
        <item x="555"/>
        <item x="532"/>
        <item x="77"/>
        <item x="341"/>
        <item x="38"/>
        <item x="428"/>
        <item x="2"/>
        <item x="329"/>
        <item x="34"/>
        <item x="424"/>
        <item x="447"/>
        <item x="316"/>
        <item x="241"/>
        <item x="399"/>
        <item x="618"/>
        <item x="509"/>
        <item x="542"/>
        <item x="337"/>
        <item x="561"/>
        <item x="1"/>
        <item x="145"/>
        <item x="392"/>
        <item x="452"/>
        <item x="320"/>
        <item x="161"/>
        <item x="357"/>
        <item x="294"/>
        <item x="331"/>
        <item x="359"/>
        <item x="389"/>
        <item x="96"/>
        <item x="213"/>
        <item x="439"/>
        <item x="576"/>
        <item x="503"/>
        <item x="409"/>
        <item x="174"/>
        <item x="208"/>
        <item x="160"/>
        <item x="483"/>
        <item x="201"/>
        <item x="219"/>
        <item x="459"/>
        <item x="358"/>
        <item x="263"/>
        <item x="557"/>
        <item x="332"/>
        <item x="369"/>
        <item x="153"/>
        <item x="244"/>
        <item x="193"/>
        <item x="195"/>
        <item x="319"/>
        <item x="612"/>
        <item x="474"/>
        <item x="456"/>
        <item x="104"/>
        <item x="134"/>
        <item x="437"/>
        <item x="27"/>
        <item x="14"/>
        <item x="243"/>
        <item x="574"/>
        <item x="142"/>
        <item x="570"/>
        <item x="522"/>
        <item x="305"/>
        <item x="109"/>
        <item x="434"/>
        <item x="322"/>
        <item x="95"/>
        <item x="489"/>
        <item x="621"/>
        <item x="60"/>
        <item x="283"/>
        <item x="382"/>
        <item x="506"/>
        <item x="552"/>
        <item x="112"/>
        <item x="273"/>
        <item x="102"/>
        <item x="386"/>
        <item x="268"/>
        <item x="196"/>
        <item x="512"/>
        <item x="73"/>
        <item x="281"/>
        <item x="187"/>
        <item x="308"/>
        <item x="307"/>
        <item x="346"/>
        <item x="255"/>
        <item x="342"/>
        <item x="223"/>
        <item x="325"/>
        <item x="500"/>
        <item x="501"/>
        <item x="258"/>
        <item x="438"/>
        <item x="125"/>
        <item x="584"/>
        <item x="94"/>
        <item x="260"/>
        <item x="17"/>
        <item x="293"/>
        <item x="495"/>
        <item x="374"/>
        <item x="326"/>
        <item x="26"/>
        <item x="408"/>
        <item x="429"/>
        <item x="249"/>
        <item x="254"/>
        <item x="8"/>
        <item x="12"/>
        <item x="119"/>
        <item x="28"/>
        <item x="441"/>
        <item x="580"/>
        <item x="49"/>
        <item x="43"/>
        <item x="267"/>
        <item x="32"/>
        <item x="279"/>
        <item x="516"/>
        <item x="173"/>
        <item x="606"/>
        <item x="168"/>
        <item x="423"/>
        <item x="538"/>
        <item x="124"/>
        <item x="155"/>
        <item x="237"/>
        <item x="402"/>
        <item x="66"/>
        <item x="404"/>
        <item x="426"/>
        <item x="321"/>
        <item x="513"/>
        <item x="355"/>
        <item x="554"/>
        <item x="365"/>
        <item x="517"/>
        <item x="301"/>
        <item x="317"/>
        <item x="311"/>
        <item x="377"/>
        <item x="98"/>
        <item x="211"/>
        <item x="61"/>
        <item x="368"/>
        <item x="140"/>
        <item x="82"/>
        <item x="334"/>
        <item x="600"/>
        <item x="121"/>
        <item x="16"/>
        <item x="48"/>
        <item x="245"/>
        <item x="225"/>
        <item x="186"/>
        <item x="304"/>
        <item x="556"/>
        <item x="246"/>
        <item x="100"/>
        <item x="299"/>
        <item x="496"/>
        <item x="484"/>
        <item x="566"/>
        <item x="469"/>
        <item x="372"/>
        <item x="91"/>
        <item x="485"/>
        <item x="442"/>
        <item x="499"/>
        <item x="528"/>
        <item x="582"/>
        <item x="148"/>
        <item x="487"/>
        <item x="462"/>
        <item x="139"/>
        <item x="222"/>
        <item x="89"/>
        <item x="59"/>
        <item x="64"/>
        <item x="622"/>
        <item x="446"/>
        <item x="472"/>
        <item x="276"/>
        <item x="356"/>
        <item x="569"/>
        <item x="354"/>
        <item x="328"/>
        <item x="127"/>
        <item x="534"/>
        <item x="610"/>
        <item x="480"/>
        <item x="229"/>
        <item x="461"/>
        <item x="264"/>
        <item x="202"/>
        <item x="97"/>
        <item x="42"/>
        <item x="101"/>
        <item x="163"/>
        <item x="114"/>
        <item x="318"/>
        <item x="338"/>
        <item x="233"/>
        <item x="470"/>
        <item x="481"/>
        <item x="55"/>
        <item x="289"/>
        <item x="460"/>
        <item x="575"/>
        <item x="353"/>
        <item x="166"/>
        <item x="613"/>
        <item x="122"/>
        <item x="586"/>
        <item x="508"/>
        <item x="519"/>
        <item x="349"/>
        <item x="348"/>
        <item x="488"/>
        <item x="274"/>
        <item x="130"/>
        <item x="81"/>
        <item x="533"/>
        <item x="465"/>
        <item x="147"/>
        <item x="466"/>
        <item x="78"/>
        <item x="339"/>
        <item x="214"/>
        <item x="79"/>
        <item x="286"/>
        <item x="467"/>
        <item x="345"/>
        <item x="418"/>
        <item x="9"/>
        <item x="333"/>
        <item x="567"/>
        <item x="415"/>
        <item x="527"/>
        <item x="295"/>
        <item x="479"/>
        <item x="616"/>
        <item x="262"/>
        <item x="181"/>
        <item x="450"/>
        <item x="545"/>
        <item x="475"/>
        <item x="579"/>
        <item x="414"/>
        <item x="617"/>
        <item x="206"/>
        <item x="312"/>
        <item x="564"/>
        <item x="190"/>
        <item x="165"/>
        <item x="197"/>
        <item x="287"/>
        <item x="56"/>
        <item x="551"/>
        <item x="436"/>
        <item x="602"/>
        <item x="205"/>
        <item x="259"/>
        <item x="476"/>
        <item x="159"/>
        <item x="141"/>
        <item x="589"/>
        <item x="126"/>
        <item x="272"/>
        <item x="0"/>
        <item x="491"/>
        <item x="520"/>
        <item x="473"/>
        <item x="451"/>
        <item x="226"/>
        <item x="62"/>
        <item x="388"/>
        <item x="543"/>
        <item x="421"/>
        <item x="182"/>
        <item x="614"/>
        <item x="577"/>
        <item x="572"/>
        <item x="521"/>
        <item x="453"/>
        <item x="170"/>
        <item x="558"/>
        <item x="413"/>
        <item x="430"/>
        <item x="492"/>
        <item x="563"/>
        <item x="507"/>
        <item x="327"/>
        <item x="384"/>
        <item x="324"/>
        <item x="171"/>
        <item x="573"/>
        <item x="303"/>
        <item x="90"/>
        <item x="88"/>
        <item x="216"/>
        <item x="590"/>
        <item x="290"/>
        <item x="69"/>
        <item x="80"/>
        <item x="313"/>
        <item x="149"/>
        <item x="292"/>
        <item x="373"/>
        <item x="457"/>
        <item x="371"/>
        <item x="523"/>
        <item x="231"/>
        <item x="378"/>
        <item x="230"/>
        <item x="416"/>
        <item x="52"/>
        <item x="21"/>
        <item x="137"/>
        <item x="234"/>
        <item x="383"/>
        <item x="15"/>
        <item x="191"/>
        <item x="251"/>
        <item x="218"/>
        <item x="400"/>
        <item x="176"/>
        <item x="183"/>
        <item x="363"/>
        <item x="221"/>
        <item x="71"/>
        <item x="490"/>
        <item x="242"/>
        <item x="207"/>
        <item x="236"/>
        <item x="410"/>
        <item x="275"/>
        <item x="123"/>
        <item x="13"/>
        <item x="536"/>
        <item x="541"/>
        <item x="352"/>
        <item x="478"/>
        <item x="10"/>
        <item x="370"/>
        <item x="598"/>
        <item x="360"/>
        <item x="403"/>
        <item x="367"/>
        <item x="220"/>
        <item x="67"/>
        <item x="177"/>
        <item x="86"/>
        <item x="407"/>
        <item x="107"/>
        <item x="235"/>
        <item x="74"/>
        <item x="323"/>
        <item x="200"/>
        <item x="180"/>
        <item x="215"/>
        <item x="366"/>
        <item x="549"/>
        <item x="611"/>
        <item x="420"/>
        <item x="314"/>
        <item x="401"/>
        <item x="514"/>
        <item x="238"/>
        <item x="587"/>
        <item x="144"/>
        <item x="417"/>
        <item x="464"/>
        <item x="280"/>
        <item x="340"/>
        <item x="531"/>
        <item x="185"/>
        <item x="608"/>
        <item x="530"/>
        <item x="239"/>
        <item x="548"/>
        <item x="432"/>
        <item x="179"/>
        <item x="45"/>
        <item x="232"/>
        <item x="510"/>
        <item x="315"/>
        <item x="498"/>
        <item x="164"/>
        <item x="40"/>
        <item x="330"/>
        <item x="335"/>
        <item x="306"/>
        <item x="497"/>
        <item x="248"/>
        <item x="444"/>
        <item x="591"/>
        <item x="75"/>
        <item x="136"/>
        <item x="250"/>
        <item x="72"/>
        <item x="217"/>
        <item x="560"/>
        <item x="443"/>
        <item x="33"/>
        <item x="11"/>
        <item x="7"/>
        <item x="175"/>
        <item x="526"/>
        <item x="3"/>
        <item x="463"/>
        <item x="105"/>
        <item x="493"/>
        <item x="511"/>
        <item x="310"/>
        <item x="405"/>
        <item x="362"/>
        <item x="150"/>
        <item x="178"/>
        <item t="default"/>
      </items>
    </pivotField>
    <pivotField showAll="0"/>
    <pivotField showAll="0"/>
    <pivotField showAll="0">
      <items count="23">
        <item x="1"/>
        <item x="0"/>
        <item x="11"/>
        <item x="18"/>
        <item x="7"/>
        <item x="3"/>
        <item x="2"/>
        <item x="15"/>
        <item x="5"/>
        <item x="21"/>
        <item x="10"/>
        <item x="12"/>
        <item x="16"/>
        <item x="13"/>
        <item x="6"/>
        <item x="14"/>
        <item x="4"/>
        <item x="8"/>
        <item x="9"/>
        <item x="17"/>
        <item x="20"/>
        <item x="19"/>
        <item t="default"/>
      </items>
    </pivotField>
    <pivotField showAll="0"/>
    <pivotField showAll="0">
      <items count="7">
        <item x="5"/>
        <item x="4"/>
        <item x="3"/>
        <item x="2"/>
        <item x="1"/>
        <item x="0"/>
        <item t="default"/>
      </items>
    </pivotField>
    <pivotField showAll="0">
      <items count="5">
        <item x="3"/>
        <item x="1"/>
        <item x="2"/>
        <item x="0"/>
        <item t="default"/>
      </items>
    </pivotField>
  </pivotFields>
  <rowItems count="1">
    <i/>
  </rowItems>
  <colItems count="1">
    <i/>
  </colItems>
  <dataFields count="1">
    <dataField name="Count of Anime Titl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6E541FDE-00B2-4460-BF5B-6DDB0B05900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47:B58" firstHeaderRow="1" firstDataRow="1" firstDataCol="1"/>
  <pivotFields count="7">
    <pivotField axis="axisRow" showAll="0" measureFilter="1" sortType="ascending">
      <items count="624">
        <item x="23"/>
        <item x="427"/>
        <item x="291"/>
        <item x="4"/>
        <item x="300"/>
        <item x="571"/>
        <item x="29"/>
        <item x="550"/>
        <item x="535"/>
        <item x="595"/>
        <item x="486"/>
        <item x="198"/>
        <item x="588"/>
        <item x="524"/>
        <item x="209"/>
        <item x="278"/>
        <item x="152"/>
        <item x="482"/>
        <item x="257"/>
        <item x="24"/>
        <item x="154"/>
        <item x="83"/>
        <item x="135"/>
        <item x="288"/>
        <item x="118"/>
        <item x="515"/>
        <item x="189"/>
        <item x="228"/>
        <item x="261"/>
        <item x="128"/>
        <item x="39"/>
        <item x="54"/>
        <item x="240"/>
        <item x="210"/>
        <item x="115"/>
        <item x="477"/>
        <item x="132"/>
        <item x="35"/>
        <item x="117"/>
        <item x="593"/>
        <item x="425"/>
        <item x="620"/>
        <item x="65"/>
        <item x="603"/>
        <item x="553"/>
        <item x="385"/>
        <item x="449"/>
        <item x="540"/>
        <item x="406"/>
        <item x="351"/>
        <item x="391"/>
        <item x="615"/>
        <item x="539"/>
        <item x="393"/>
        <item x="302"/>
        <item x="227"/>
        <item x="433"/>
        <item x="253"/>
        <item x="468"/>
        <item x="578"/>
        <item x="390"/>
        <item x="120"/>
        <item x="458"/>
        <item x="284"/>
        <item x="376"/>
        <item x="375"/>
        <item x="47"/>
        <item x="192"/>
        <item x="30"/>
        <item x="138"/>
        <item x="129"/>
        <item x="57"/>
        <item x="51"/>
        <item x="252"/>
        <item x="63"/>
        <item x="585"/>
        <item x="594"/>
        <item x="106"/>
        <item x="212"/>
        <item x="169"/>
        <item x="396"/>
        <item x="350"/>
        <item x="157"/>
        <item x="25"/>
        <item x="529"/>
        <item x="537"/>
        <item x="565"/>
        <item x="277"/>
        <item x="99"/>
        <item x="256"/>
        <item x="70"/>
        <item x="68"/>
        <item x="37"/>
        <item x="431"/>
        <item x="454"/>
        <item x="518"/>
        <item x="103"/>
        <item x="92"/>
        <item x="547"/>
        <item x="133"/>
        <item x="247"/>
        <item x="504"/>
        <item x="380"/>
        <item x="131"/>
        <item x="361"/>
        <item x="387"/>
        <item x="419"/>
        <item x="199"/>
        <item x="5"/>
        <item x="20"/>
        <item x="87"/>
        <item x="146"/>
        <item x="397"/>
        <item x="156"/>
        <item x="6"/>
        <item x="309"/>
        <item x="619"/>
        <item x="592"/>
        <item x="347"/>
        <item x="544"/>
        <item x="599"/>
        <item x="448"/>
        <item x="343"/>
        <item x="110"/>
        <item x="583"/>
        <item x="395"/>
        <item x="50"/>
        <item x="158"/>
        <item x="525"/>
        <item x="58"/>
        <item x="266"/>
        <item x="445"/>
        <item x="298"/>
        <item x="85"/>
        <item x="53"/>
        <item x="455"/>
        <item x="605"/>
        <item x="19"/>
        <item x="36"/>
        <item x="167"/>
        <item x="422"/>
        <item x="76"/>
        <item x="568"/>
        <item x="108"/>
        <item x="184"/>
        <item x="282"/>
        <item x="204"/>
        <item x="84"/>
        <item x="31"/>
        <item x="271"/>
        <item x="344"/>
        <item x="502"/>
        <item x="411"/>
        <item x="559"/>
        <item x="116"/>
        <item x="151"/>
        <item x="297"/>
        <item x="581"/>
        <item x="18"/>
        <item x="597"/>
        <item x="412"/>
        <item x="270"/>
        <item x="44"/>
        <item x="562"/>
        <item x="162"/>
        <item x="41"/>
        <item x="46"/>
        <item x="285"/>
        <item x="111"/>
        <item x="93"/>
        <item x="546"/>
        <item x="364"/>
        <item x="607"/>
        <item x="398"/>
        <item x="609"/>
        <item x="471"/>
        <item x="336"/>
        <item x="143"/>
        <item x="194"/>
        <item x="224"/>
        <item x="604"/>
        <item x="188"/>
        <item x="596"/>
        <item x="379"/>
        <item x="494"/>
        <item x="435"/>
        <item x="269"/>
        <item x="601"/>
        <item x="172"/>
        <item x="22"/>
        <item x="394"/>
        <item x="296"/>
        <item x="440"/>
        <item x="505"/>
        <item x="265"/>
        <item x="203"/>
        <item x="381"/>
        <item x="113"/>
        <item x="555"/>
        <item x="532"/>
        <item x="77"/>
        <item x="341"/>
        <item x="38"/>
        <item x="428"/>
        <item x="2"/>
        <item x="329"/>
        <item x="34"/>
        <item x="424"/>
        <item x="447"/>
        <item x="316"/>
        <item x="241"/>
        <item x="399"/>
        <item x="618"/>
        <item x="509"/>
        <item x="542"/>
        <item x="337"/>
        <item x="561"/>
        <item x="1"/>
        <item x="145"/>
        <item x="392"/>
        <item x="452"/>
        <item x="320"/>
        <item x="161"/>
        <item x="357"/>
        <item x="294"/>
        <item x="331"/>
        <item x="359"/>
        <item x="389"/>
        <item x="96"/>
        <item x="213"/>
        <item x="439"/>
        <item x="576"/>
        <item x="503"/>
        <item x="409"/>
        <item x="174"/>
        <item x="208"/>
        <item x="160"/>
        <item x="483"/>
        <item x="201"/>
        <item x="219"/>
        <item x="459"/>
        <item x="358"/>
        <item x="263"/>
        <item x="557"/>
        <item x="332"/>
        <item x="369"/>
        <item x="153"/>
        <item x="244"/>
        <item x="193"/>
        <item x="195"/>
        <item x="319"/>
        <item x="612"/>
        <item x="474"/>
        <item x="456"/>
        <item x="104"/>
        <item x="134"/>
        <item x="437"/>
        <item x="27"/>
        <item x="14"/>
        <item x="243"/>
        <item x="574"/>
        <item x="142"/>
        <item x="570"/>
        <item x="522"/>
        <item x="305"/>
        <item x="109"/>
        <item x="434"/>
        <item x="322"/>
        <item x="95"/>
        <item x="489"/>
        <item x="621"/>
        <item x="60"/>
        <item x="283"/>
        <item x="382"/>
        <item x="506"/>
        <item x="552"/>
        <item x="112"/>
        <item x="273"/>
        <item x="102"/>
        <item x="386"/>
        <item x="268"/>
        <item x="196"/>
        <item x="512"/>
        <item x="73"/>
        <item x="281"/>
        <item x="187"/>
        <item x="308"/>
        <item x="307"/>
        <item x="346"/>
        <item x="255"/>
        <item x="342"/>
        <item x="223"/>
        <item x="325"/>
        <item x="500"/>
        <item x="501"/>
        <item x="258"/>
        <item x="438"/>
        <item x="125"/>
        <item x="584"/>
        <item x="94"/>
        <item x="260"/>
        <item x="17"/>
        <item x="293"/>
        <item x="495"/>
        <item x="374"/>
        <item x="326"/>
        <item x="26"/>
        <item x="408"/>
        <item x="429"/>
        <item x="249"/>
        <item x="254"/>
        <item x="8"/>
        <item x="12"/>
        <item x="119"/>
        <item x="28"/>
        <item x="441"/>
        <item x="580"/>
        <item x="49"/>
        <item x="43"/>
        <item x="267"/>
        <item x="32"/>
        <item x="279"/>
        <item x="516"/>
        <item x="173"/>
        <item x="606"/>
        <item x="168"/>
        <item x="423"/>
        <item x="538"/>
        <item x="124"/>
        <item x="155"/>
        <item x="237"/>
        <item x="402"/>
        <item x="66"/>
        <item x="404"/>
        <item x="426"/>
        <item x="321"/>
        <item x="513"/>
        <item x="355"/>
        <item x="554"/>
        <item x="365"/>
        <item x="517"/>
        <item x="301"/>
        <item x="317"/>
        <item x="311"/>
        <item x="377"/>
        <item x="98"/>
        <item x="211"/>
        <item x="61"/>
        <item x="368"/>
        <item x="140"/>
        <item x="82"/>
        <item x="334"/>
        <item x="600"/>
        <item x="121"/>
        <item x="16"/>
        <item x="48"/>
        <item x="245"/>
        <item x="225"/>
        <item x="186"/>
        <item x="304"/>
        <item x="556"/>
        <item x="246"/>
        <item x="100"/>
        <item x="299"/>
        <item x="496"/>
        <item x="484"/>
        <item x="566"/>
        <item x="469"/>
        <item x="372"/>
        <item x="91"/>
        <item x="485"/>
        <item x="442"/>
        <item x="499"/>
        <item x="528"/>
        <item x="582"/>
        <item x="148"/>
        <item x="487"/>
        <item x="462"/>
        <item x="139"/>
        <item x="222"/>
        <item x="89"/>
        <item x="59"/>
        <item x="64"/>
        <item x="622"/>
        <item x="446"/>
        <item x="472"/>
        <item x="276"/>
        <item x="356"/>
        <item x="569"/>
        <item x="354"/>
        <item x="328"/>
        <item x="127"/>
        <item x="534"/>
        <item x="610"/>
        <item x="480"/>
        <item x="229"/>
        <item x="461"/>
        <item x="264"/>
        <item x="202"/>
        <item x="97"/>
        <item x="42"/>
        <item x="101"/>
        <item x="163"/>
        <item x="114"/>
        <item x="318"/>
        <item x="338"/>
        <item x="233"/>
        <item x="470"/>
        <item x="481"/>
        <item x="55"/>
        <item x="289"/>
        <item x="460"/>
        <item x="575"/>
        <item x="353"/>
        <item x="166"/>
        <item x="613"/>
        <item x="122"/>
        <item x="586"/>
        <item x="508"/>
        <item x="519"/>
        <item x="349"/>
        <item x="348"/>
        <item x="488"/>
        <item x="274"/>
        <item x="130"/>
        <item x="81"/>
        <item x="533"/>
        <item x="465"/>
        <item x="147"/>
        <item x="466"/>
        <item x="78"/>
        <item x="339"/>
        <item x="214"/>
        <item x="79"/>
        <item x="286"/>
        <item x="467"/>
        <item x="345"/>
        <item x="418"/>
        <item x="9"/>
        <item x="333"/>
        <item x="567"/>
        <item x="415"/>
        <item x="527"/>
        <item x="295"/>
        <item x="479"/>
        <item x="616"/>
        <item x="262"/>
        <item x="181"/>
        <item x="450"/>
        <item x="545"/>
        <item x="475"/>
        <item x="579"/>
        <item x="414"/>
        <item x="617"/>
        <item x="206"/>
        <item x="312"/>
        <item x="564"/>
        <item x="190"/>
        <item x="165"/>
        <item x="197"/>
        <item x="287"/>
        <item x="56"/>
        <item x="551"/>
        <item x="436"/>
        <item x="602"/>
        <item x="205"/>
        <item x="259"/>
        <item x="476"/>
        <item x="159"/>
        <item x="141"/>
        <item x="589"/>
        <item x="126"/>
        <item x="272"/>
        <item x="0"/>
        <item x="491"/>
        <item x="520"/>
        <item x="473"/>
        <item x="451"/>
        <item x="226"/>
        <item x="62"/>
        <item x="388"/>
        <item x="543"/>
        <item x="421"/>
        <item x="182"/>
        <item x="614"/>
        <item x="577"/>
        <item x="572"/>
        <item x="521"/>
        <item x="453"/>
        <item x="170"/>
        <item x="558"/>
        <item x="413"/>
        <item x="430"/>
        <item x="492"/>
        <item x="563"/>
        <item x="507"/>
        <item x="327"/>
        <item x="384"/>
        <item x="324"/>
        <item x="171"/>
        <item x="573"/>
        <item x="303"/>
        <item x="90"/>
        <item x="88"/>
        <item x="216"/>
        <item x="590"/>
        <item x="290"/>
        <item x="69"/>
        <item x="80"/>
        <item x="313"/>
        <item x="149"/>
        <item x="292"/>
        <item x="373"/>
        <item x="457"/>
        <item x="371"/>
        <item x="523"/>
        <item x="231"/>
        <item x="378"/>
        <item x="230"/>
        <item x="416"/>
        <item x="52"/>
        <item x="21"/>
        <item x="137"/>
        <item x="234"/>
        <item x="383"/>
        <item x="15"/>
        <item x="191"/>
        <item x="251"/>
        <item x="218"/>
        <item x="400"/>
        <item x="176"/>
        <item x="183"/>
        <item x="363"/>
        <item x="221"/>
        <item x="71"/>
        <item x="490"/>
        <item x="242"/>
        <item x="207"/>
        <item x="236"/>
        <item x="410"/>
        <item x="275"/>
        <item x="123"/>
        <item x="13"/>
        <item x="536"/>
        <item x="541"/>
        <item x="352"/>
        <item x="478"/>
        <item x="10"/>
        <item x="370"/>
        <item x="598"/>
        <item x="360"/>
        <item x="403"/>
        <item x="367"/>
        <item x="220"/>
        <item x="67"/>
        <item x="177"/>
        <item x="86"/>
        <item x="407"/>
        <item x="107"/>
        <item x="235"/>
        <item x="74"/>
        <item x="323"/>
        <item x="200"/>
        <item x="180"/>
        <item x="215"/>
        <item x="366"/>
        <item x="549"/>
        <item x="611"/>
        <item x="420"/>
        <item x="314"/>
        <item x="401"/>
        <item x="514"/>
        <item x="238"/>
        <item x="587"/>
        <item x="144"/>
        <item x="417"/>
        <item x="464"/>
        <item x="280"/>
        <item x="340"/>
        <item x="531"/>
        <item x="185"/>
        <item x="608"/>
        <item x="530"/>
        <item x="239"/>
        <item x="548"/>
        <item x="432"/>
        <item x="179"/>
        <item x="45"/>
        <item x="232"/>
        <item x="510"/>
        <item x="315"/>
        <item x="498"/>
        <item x="164"/>
        <item x="40"/>
        <item x="330"/>
        <item x="335"/>
        <item x="306"/>
        <item x="497"/>
        <item x="248"/>
        <item x="444"/>
        <item x="591"/>
        <item x="75"/>
        <item x="136"/>
        <item x="250"/>
        <item x="72"/>
        <item x="217"/>
        <item x="560"/>
        <item x="443"/>
        <item x="33"/>
        <item x="11"/>
        <item x="7"/>
        <item x="175"/>
        <item x="526"/>
        <item x="3"/>
        <item x="463"/>
        <item x="105"/>
        <item x="493"/>
        <item x="511"/>
        <item x="310"/>
        <item x="405"/>
        <item x="362"/>
        <item x="150"/>
        <item x="178"/>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23">
        <item x="1"/>
        <item x="0"/>
        <item x="11"/>
        <item x="18"/>
        <item x="7"/>
        <item x="3"/>
        <item x="2"/>
        <item x="15"/>
        <item x="5"/>
        <item x="21"/>
        <item x="10"/>
        <item x="12"/>
        <item x="16"/>
        <item x="13"/>
        <item x="6"/>
        <item x="14"/>
        <item x="4"/>
        <item x="8"/>
        <item x="9"/>
        <item x="17"/>
        <item x="20"/>
        <item x="19"/>
        <item t="default"/>
      </items>
    </pivotField>
    <pivotField showAll="0"/>
    <pivotField showAll="0">
      <items count="7">
        <item x="5"/>
        <item x="4"/>
        <item x="3"/>
        <item x="2"/>
        <item x="1"/>
        <item x="0"/>
        <item t="default"/>
      </items>
    </pivotField>
    <pivotField showAll="0">
      <items count="5">
        <item x="3"/>
        <item x="1"/>
        <item x="2"/>
        <item x="0"/>
        <item t="default"/>
      </items>
    </pivotField>
  </pivotFields>
  <rowFields count="1">
    <field x="0"/>
  </rowFields>
  <rowItems count="11">
    <i>
      <x v="449"/>
    </i>
    <i>
      <x v="548"/>
    </i>
    <i>
      <x v="277"/>
    </i>
    <i>
      <x v="278"/>
    </i>
    <i>
      <x v="120"/>
    </i>
    <i>
      <x v="473"/>
    </i>
    <i>
      <x v="47"/>
    </i>
    <i>
      <x v="67"/>
    </i>
    <i>
      <x v="479"/>
    </i>
    <i>
      <x v="472"/>
    </i>
    <i t="grand">
      <x/>
    </i>
  </rowItems>
  <colItems count="1">
    <i/>
  </colItems>
  <dataFields count="1">
    <dataField name="Average of Rating/Score" fld="2" subtotal="average" baseField="0" baseItem="0"/>
  </dataFields>
  <chartFormats count="2">
    <chartFormat chart="29"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DAD2AF8C-5345-416D-B706-329F468FE06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4" firstHeaderRow="1" firstDataRow="1" firstDataCol="1"/>
  <pivotFields count="7">
    <pivotField showAll="0">
      <items count="624">
        <item x="23"/>
        <item x="427"/>
        <item x="291"/>
        <item x="4"/>
        <item x="300"/>
        <item x="571"/>
        <item x="29"/>
        <item x="550"/>
        <item x="535"/>
        <item x="595"/>
        <item x="486"/>
        <item x="198"/>
        <item x="588"/>
        <item x="524"/>
        <item x="209"/>
        <item x="278"/>
        <item x="152"/>
        <item x="482"/>
        <item x="257"/>
        <item x="24"/>
        <item x="154"/>
        <item x="83"/>
        <item x="135"/>
        <item x="288"/>
        <item x="118"/>
        <item x="515"/>
        <item x="189"/>
        <item x="228"/>
        <item x="261"/>
        <item x="128"/>
        <item x="39"/>
        <item x="54"/>
        <item x="240"/>
        <item x="210"/>
        <item x="115"/>
        <item x="477"/>
        <item x="132"/>
        <item x="35"/>
        <item x="117"/>
        <item x="593"/>
        <item x="425"/>
        <item x="620"/>
        <item x="65"/>
        <item x="603"/>
        <item x="553"/>
        <item x="385"/>
        <item x="449"/>
        <item x="540"/>
        <item x="406"/>
        <item x="351"/>
        <item x="391"/>
        <item x="615"/>
        <item x="539"/>
        <item x="393"/>
        <item x="302"/>
        <item x="227"/>
        <item x="433"/>
        <item x="253"/>
        <item x="468"/>
        <item x="578"/>
        <item x="390"/>
        <item x="120"/>
        <item x="458"/>
        <item x="284"/>
        <item x="376"/>
        <item x="375"/>
        <item x="47"/>
        <item x="192"/>
        <item x="30"/>
        <item x="138"/>
        <item x="129"/>
        <item x="57"/>
        <item x="51"/>
        <item x="252"/>
        <item x="63"/>
        <item x="585"/>
        <item x="594"/>
        <item x="106"/>
        <item x="212"/>
        <item x="169"/>
        <item x="396"/>
        <item x="350"/>
        <item x="157"/>
        <item x="25"/>
        <item x="529"/>
        <item x="537"/>
        <item x="565"/>
        <item x="277"/>
        <item x="99"/>
        <item x="256"/>
        <item x="70"/>
        <item x="68"/>
        <item x="37"/>
        <item x="431"/>
        <item x="454"/>
        <item x="518"/>
        <item x="103"/>
        <item x="92"/>
        <item x="547"/>
        <item x="133"/>
        <item x="247"/>
        <item x="504"/>
        <item x="380"/>
        <item x="131"/>
        <item x="361"/>
        <item x="387"/>
        <item x="419"/>
        <item x="199"/>
        <item x="5"/>
        <item x="20"/>
        <item x="87"/>
        <item x="146"/>
        <item x="397"/>
        <item x="156"/>
        <item x="6"/>
        <item x="309"/>
        <item x="619"/>
        <item x="592"/>
        <item x="347"/>
        <item x="544"/>
        <item x="599"/>
        <item x="448"/>
        <item x="343"/>
        <item x="110"/>
        <item x="583"/>
        <item x="395"/>
        <item x="50"/>
        <item x="158"/>
        <item x="525"/>
        <item x="58"/>
        <item x="266"/>
        <item x="445"/>
        <item x="298"/>
        <item x="85"/>
        <item x="53"/>
        <item x="455"/>
        <item x="605"/>
        <item x="19"/>
        <item x="36"/>
        <item x="167"/>
        <item x="422"/>
        <item x="76"/>
        <item x="568"/>
        <item x="108"/>
        <item x="184"/>
        <item x="282"/>
        <item x="204"/>
        <item x="84"/>
        <item x="31"/>
        <item x="271"/>
        <item x="344"/>
        <item x="502"/>
        <item x="411"/>
        <item x="559"/>
        <item x="116"/>
        <item x="151"/>
        <item x="297"/>
        <item x="581"/>
        <item x="18"/>
        <item x="597"/>
        <item x="412"/>
        <item x="270"/>
        <item x="44"/>
        <item x="562"/>
        <item x="162"/>
        <item x="41"/>
        <item x="46"/>
        <item x="285"/>
        <item x="111"/>
        <item x="93"/>
        <item x="546"/>
        <item x="364"/>
        <item x="607"/>
        <item x="398"/>
        <item x="609"/>
        <item x="471"/>
        <item x="336"/>
        <item x="143"/>
        <item x="194"/>
        <item x="224"/>
        <item x="604"/>
        <item x="188"/>
        <item x="596"/>
        <item x="379"/>
        <item x="494"/>
        <item x="435"/>
        <item x="269"/>
        <item x="601"/>
        <item x="172"/>
        <item x="22"/>
        <item x="394"/>
        <item x="296"/>
        <item x="440"/>
        <item x="505"/>
        <item x="265"/>
        <item x="203"/>
        <item x="381"/>
        <item x="113"/>
        <item x="555"/>
        <item x="532"/>
        <item x="77"/>
        <item x="341"/>
        <item x="38"/>
        <item x="428"/>
        <item x="2"/>
        <item x="329"/>
        <item x="34"/>
        <item x="424"/>
        <item x="447"/>
        <item x="316"/>
        <item x="241"/>
        <item x="399"/>
        <item x="618"/>
        <item x="509"/>
        <item x="542"/>
        <item x="337"/>
        <item x="561"/>
        <item x="1"/>
        <item x="145"/>
        <item x="392"/>
        <item x="452"/>
        <item x="320"/>
        <item x="161"/>
        <item x="357"/>
        <item x="294"/>
        <item x="331"/>
        <item x="359"/>
        <item x="389"/>
        <item x="96"/>
        <item x="213"/>
        <item x="439"/>
        <item x="576"/>
        <item x="503"/>
        <item x="409"/>
        <item x="174"/>
        <item x="208"/>
        <item x="160"/>
        <item x="483"/>
        <item x="201"/>
        <item x="219"/>
        <item x="459"/>
        <item x="358"/>
        <item x="263"/>
        <item x="557"/>
        <item x="332"/>
        <item x="369"/>
        <item x="153"/>
        <item x="244"/>
        <item x="193"/>
        <item x="195"/>
        <item x="319"/>
        <item x="612"/>
        <item x="474"/>
        <item x="456"/>
        <item x="104"/>
        <item x="134"/>
        <item x="437"/>
        <item x="27"/>
        <item x="14"/>
        <item x="243"/>
        <item x="574"/>
        <item x="142"/>
        <item x="570"/>
        <item x="522"/>
        <item x="305"/>
        <item x="109"/>
        <item x="434"/>
        <item x="322"/>
        <item x="95"/>
        <item x="489"/>
        <item x="621"/>
        <item x="60"/>
        <item x="283"/>
        <item x="382"/>
        <item x="506"/>
        <item x="552"/>
        <item x="112"/>
        <item x="273"/>
        <item x="102"/>
        <item x="386"/>
        <item x="268"/>
        <item x="196"/>
        <item x="512"/>
        <item x="73"/>
        <item x="281"/>
        <item x="187"/>
        <item x="308"/>
        <item x="307"/>
        <item x="346"/>
        <item x="255"/>
        <item x="342"/>
        <item x="223"/>
        <item x="325"/>
        <item x="500"/>
        <item x="501"/>
        <item x="258"/>
        <item x="438"/>
        <item x="125"/>
        <item x="584"/>
        <item x="94"/>
        <item x="260"/>
        <item x="17"/>
        <item x="293"/>
        <item x="495"/>
        <item x="374"/>
        <item x="326"/>
        <item x="26"/>
        <item x="408"/>
        <item x="429"/>
        <item x="249"/>
        <item x="254"/>
        <item x="8"/>
        <item x="12"/>
        <item x="119"/>
        <item x="28"/>
        <item x="441"/>
        <item x="580"/>
        <item x="49"/>
        <item x="43"/>
        <item x="267"/>
        <item x="32"/>
        <item x="279"/>
        <item x="516"/>
        <item x="173"/>
        <item x="606"/>
        <item x="168"/>
        <item x="423"/>
        <item x="538"/>
        <item x="124"/>
        <item x="155"/>
        <item x="237"/>
        <item x="402"/>
        <item x="66"/>
        <item x="404"/>
        <item x="426"/>
        <item x="321"/>
        <item x="513"/>
        <item x="355"/>
        <item x="554"/>
        <item x="365"/>
        <item x="517"/>
        <item x="301"/>
        <item x="317"/>
        <item x="311"/>
        <item x="377"/>
        <item x="98"/>
        <item x="211"/>
        <item x="61"/>
        <item x="368"/>
        <item x="140"/>
        <item x="82"/>
        <item x="334"/>
        <item x="600"/>
        <item x="121"/>
        <item x="16"/>
        <item x="48"/>
        <item x="245"/>
        <item x="225"/>
        <item x="186"/>
        <item x="304"/>
        <item x="556"/>
        <item x="246"/>
        <item x="100"/>
        <item x="299"/>
        <item x="496"/>
        <item x="484"/>
        <item x="566"/>
        <item x="469"/>
        <item x="372"/>
        <item x="91"/>
        <item x="485"/>
        <item x="442"/>
        <item x="499"/>
        <item x="528"/>
        <item x="582"/>
        <item x="148"/>
        <item x="487"/>
        <item x="462"/>
        <item x="139"/>
        <item x="222"/>
        <item x="89"/>
        <item x="59"/>
        <item x="64"/>
        <item x="622"/>
        <item x="446"/>
        <item x="472"/>
        <item x="276"/>
        <item x="356"/>
        <item x="569"/>
        <item x="354"/>
        <item x="328"/>
        <item x="127"/>
        <item x="534"/>
        <item x="610"/>
        <item x="480"/>
        <item x="229"/>
        <item x="461"/>
        <item x="264"/>
        <item x="202"/>
        <item x="97"/>
        <item x="42"/>
        <item x="101"/>
        <item x="163"/>
        <item x="114"/>
        <item x="318"/>
        <item x="338"/>
        <item x="233"/>
        <item x="470"/>
        <item x="481"/>
        <item x="55"/>
        <item x="289"/>
        <item x="460"/>
        <item x="575"/>
        <item x="353"/>
        <item x="166"/>
        <item x="613"/>
        <item x="122"/>
        <item x="586"/>
        <item x="508"/>
        <item x="519"/>
        <item x="349"/>
        <item x="348"/>
        <item x="488"/>
        <item x="274"/>
        <item x="130"/>
        <item x="81"/>
        <item x="533"/>
        <item x="465"/>
        <item x="147"/>
        <item x="466"/>
        <item x="78"/>
        <item x="339"/>
        <item x="214"/>
        <item x="79"/>
        <item x="286"/>
        <item x="467"/>
        <item x="345"/>
        <item x="418"/>
        <item x="9"/>
        <item x="333"/>
        <item x="567"/>
        <item x="415"/>
        <item x="527"/>
        <item x="295"/>
        <item x="479"/>
        <item x="616"/>
        <item x="262"/>
        <item x="181"/>
        <item x="450"/>
        <item x="545"/>
        <item x="475"/>
        <item x="579"/>
        <item x="414"/>
        <item x="617"/>
        <item x="206"/>
        <item x="312"/>
        <item x="564"/>
        <item x="190"/>
        <item x="165"/>
        <item x="197"/>
        <item x="287"/>
        <item x="56"/>
        <item x="551"/>
        <item x="436"/>
        <item x="602"/>
        <item x="205"/>
        <item x="259"/>
        <item x="476"/>
        <item x="159"/>
        <item x="141"/>
        <item x="589"/>
        <item x="126"/>
        <item x="272"/>
        <item x="0"/>
        <item x="491"/>
        <item x="520"/>
        <item x="473"/>
        <item x="451"/>
        <item x="226"/>
        <item x="62"/>
        <item x="388"/>
        <item x="543"/>
        <item x="421"/>
        <item x="182"/>
        <item x="614"/>
        <item x="577"/>
        <item x="572"/>
        <item x="521"/>
        <item x="453"/>
        <item x="170"/>
        <item x="558"/>
        <item x="413"/>
        <item x="430"/>
        <item x="492"/>
        <item x="563"/>
        <item x="507"/>
        <item x="327"/>
        <item x="384"/>
        <item x="324"/>
        <item x="171"/>
        <item x="573"/>
        <item x="303"/>
        <item x="90"/>
        <item x="88"/>
        <item x="216"/>
        <item x="590"/>
        <item x="290"/>
        <item x="69"/>
        <item x="80"/>
        <item x="313"/>
        <item x="149"/>
        <item x="292"/>
        <item x="373"/>
        <item x="457"/>
        <item x="371"/>
        <item x="523"/>
        <item x="231"/>
        <item x="378"/>
        <item x="230"/>
        <item x="416"/>
        <item x="52"/>
        <item x="21"/>
        <item x="137"/>
        <item x="234"/>
        <item x="383"/>
        <item x="15"/>
        <item x="191"/>
        <item x="251"/>
        <item x="218"/>
        <item x="400"/>
        <item x="176"/>
        <item x="183"/>
        <item x="363"/>
        <item x="221"/>
        <item x="71"/>
        <item x="490"/>
        <item x="242"/>
        <item x="207"/>
        <item x="236"/>
        <item x="410"/>
        <item x="275"/>
        <item x="123"/>
        <item x="13"/>
        <item x="536"/>
        <item x="541"/>
        <item x="352"/>
        <item x="478"/>
        <item x="10"/>
        <item x="370"/>
        <item x="598"/>
        <item x="360"/>
        <item x="403"/>
        <item x="367"/>
        <item x="220"/>
        <item x="67"/>
        <item x="177"/>
        <item x="86"/>
        <item x="407"/>
        <item x="107"/>
        <item x="235"/>
        <item x="74"/>
        <item x="323"/>
        <item x="200"/>
        <item x="180"/>
        <item x="215"/>
        <item x="366"/>
        <item x="549"/>
        <item x="611"/>
        <item x="420"/>
        <item x="314"/>
        <item x="401"/>
        <item x="514"/>
        <item x="238"/>
        <item x="587"/>
        <item x="144"/>
        <item x="417"/>
        <item x="464"/>
        <item x="280"/>
        <item x="340"/>
        <item x="531"/>
        <item x="185"/>
        <item x="608"/>
        <item x="530"/>
        <item x="239"/>
        <item x="548"/>
        <item x="432"/>
        <item x="179"/>
        <item x="45"/>
        <item x="232"/>
        <item x="510"/>
        <item x="315"/>
        <item x="498"/>
        <item x="164"/>
        <item x="40"/>
        <item x="330"/>
        <item x="335"/>
        <item x="306"/>
        <item x="497"/>
        <item x="248"/>
        <item x="444"/>
        <item x="591"/>
        <item x="75"/>
        <item x="136"/>
        <item x="250"/>
        <item x="72"/>
        <item x="217"/>
        <item x="560"/>
        <item x="443"/>
        <item x="33"/>
        <item x="11"/>
        <item x="7"/>
        <item x="175"/>
        <item x="526"/>
        <item x="3"/>
        <item x="463"/>
        <item x="105"/>
        <item x="493"/>
        <item x="511"/>
        <item x="310"/>
        <item x="405"/>
        <item x="362"/>
        <item x="150"/>
        <item x="178"/>
        <item t="default"/>
      </items>
    </pivotField>
    <pivotField dataField="1" showAll="0"/>
    <pivotField showAll="0"/>
    <pivotField axis="axisRow" showAll="0" measureFilter="1" sortType="descending">
      <items count="23">
        <item x="1"/>
        <item x="0"/>
        <item x="11"/>
        <item x="18"/>
        <item x="7"/>
        <item x="3"/>
        <item x="2"/>
        <item x="15"/>
        <item x="5"/>
        <item x="21"/>
        <item x="10"/>
        <item x="12"/>
        <item x="16"/>
        <item x="13"/>
        <item x="6"/>
        <item x="14"/>
        <item x="4"/>
        <item x="8"/>
        <item x="9"/>
        <item x="17"/>
        <item x="20"/>
        <item x="19"/>
        <item t="default"/>
      </items>
      <autoSortScope>
        <pivotArea dataOnly="0" outline="0" fieldPosition="0">
          <references count="1">
            <reference field="4294967294" count="1" selected="0">
              <x v="0"/>
            </reference>
          </references>
        </pivotArea>
      </autoSortScope>
    </pivotField>
    <pivotField showAll="0"/>
    <pivotField showAll="0">
      <items count="7">
        <item x="5"/>
        <item x="4"/>
        <item x="3"/>
        <item x="2"/>
        <item x="1"/>
        <item x="0"/>
        <item t="default"/>
      </items>
    </pivotField>
    <pivotField showAll="0">
      <items count="5">
        <item x="3"/>
        <item x="1"/>
        <item x="2"/>
        <item x="0"/>
        <item t="default"/>
      </items>
    </pivotField>
  </pivotFields>
  <rowFields count="1">
    <field x="3"/>
  </rowFields>
  <rowItems count="11">
    <i>
      <x/>
    </i>
    <i>
      <x v="5"/>
    </i>
    <i>
      <x v="1"/>
    </i>
    <i>
      <x v="6"/>
    </i>
    <i>
      <x v="16"/>
    </i>
    <i>
      <x v="8"/>
    </i>
    <i>
      <x v="3"/>
    </i>
    <i>
      <x v="18"/>
    </i>
    <i>
      <x v="19"/>
    </i>
    <i>
      <x v="14"/>
    </i>
    <i t="grand">
      <x/>
    </i>
  </rowItems>
  <colItems count="1">
    <i/>
  </colItems>
  <dataFields count="1">
    <dataField name="Sum of Popularity/Members" fld="1" baseField="0" baseItem="0"/>
  </dataFields>
  <chartFormats count="2">
    <chartFormat chart="0"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C7D5D4E0-1462-445A-AAF5-274C14A52492}"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87:D92" firstHeaderRow="0" firstDataRow="1" firstDataCol="1"/>
  <pivotFields count="7">
    <pivotField dataField="1" showAll="0">
      <items count="624">
        <item x="23"/>
        <item x="427"/>
        <item x="291"/>
        <item x="4"/>
        <item x="300"/>
        <item x="571"/>
        <item x="29"/>
        <item x="550"/>
        <item x="535"/>
        <item x="595"/>
        <item x="486"/>
        <item x="198"/>
        <item x="588"/>
        <item x="524"/>
        <item x="209"/>
        <item x="278"/>
        <item x="152"/>
        <item x="482"/>
        <item x="257"/>
        <item x="24"/>
        <item x="154"/>
        <item x="83"/>
        <item x="135"/>
        <item x="288"/>
        <item x="118"/>
        <item x="515"/>
        <item x="189"/>
        <item x="228"/>
        <item x="261"/>
        <item x="128"/>
        <item x="39"/>
        <item x="54"/>
        <item x="240"/>
        <item x="210"/>
        <item x="115"/>
        <item x="477"/>
        <item x="132"/>
        <item x="35"/>
        <item x="117"/>
        <item x="593"/>
        <item x="425"/>
        <item x="620"/>
        <item x="65"/>
        <item x="603"/>
        <item x="553"/>
        <item x="385"/>
        <item x="449"/>
        <item x="540"/>
        <item x="406"/>
        <item x="351"/>
        <item x="391"/>
        <item x="615"/>
        <item x="539"/>
        <item x="393"/>
        <item x="302"/>
        <item x="227"/>
        <item x="433"/>
        <item x="253"/>
        <item x="468"/>
        <item x="578"/>
        <item x="390"/>
        <item x="120"/>
        <item x="458"/>
        <item x="284"/>
        <item x="376"/>
        <item x="375"/>
        <item x="47"/>
        <item x="192"/>
        <item x="30"/>
        <item x="138"/>
        <item x="129"/>
        <item x="57"/>
        <item x="51"/>
        <item x="252"/>
        <item x="63"/>
        <item x="585"/>
        <item x="594"/>
        <item x="106"/>
        <item x="212"/>
        <item x="169"/>
        <item x="396"/>
        <item x="350"/>
        <item x="157"/>
        <item x="25"/>
        <item x="529"/>
        <item x="537"/>
        <item x="565"/>
        <item x="277"/>
        <item x="99"/>
        <item x="256"/>
        <item x="70"/>
        <item x="68"/>
        <item x="37"/>
        <item x="431"/>
        <item x="454"/>
        <item x="518"/>
        <item x="103"/>
        <item x="92"/>
        <item x="547"/>
        <item x="133"/>
        <item x="247"/>
        <item x="504"/>
        <item x="380"/>
        <item x="131"/>
        <item x="361"/>
        <item x="387"/>
        <item x="419"/>
        <item x="199"/>
        <item x="5"/>
        <item x="20"/>
        <item x="87"/>
        <item x="146"/>
        <item x="397"/>
        <item x="156"/>
        <item x="6"/>
        <item x="309"/>
        <item x="619"/>
        <item x="592"/>
        <item x="347"/>
        <item x="544"/>
        <item x="599"/>
        <item x="448"/>
        <item x="343"/>
        <item x="110"/>
        <item x="583"/>
        <item x="395"/>
        <item x="50"/>
        <item x="158"/>
        <item x="525"/>
        <item x="58"/>
        <item x="266"/>
        <item x="445"/>
        <item x="298"/>
        <item x="85"/>
        <item x="53"/>
        <item x="455"/>
        <item x="605"/>
        <item x="19"/>
        <item x="36"/>
        <item x="167"/>
        <item x="422"/>
        <item x="76"/>
        <item x="568"/>
        <item x="108"/>
        <item x="184"/>
        <item x="282"/>
        <item x="204"/>
        <item x="84"/>
        <item x="31"/>
        <item x="271"/>
        <item x="344"/>
        <item x="502"/>
        <item x="411"/>
        <item x="559"/>
        <item x="116"/>
        <item x="151"/>
        <item x="297"/>
        <item x="581"/>
        <item x="18"/>
        <item x="597"/>
        <item x="412"/>
        <item x="270"/>
        <item x="44"/>
        <item x="562"/>
        <item x="162"/>
        <item x="41"/>
        <item x="46"/>
        <item x="285"/>
        <item x="111"/>
        <item x="93"/>
        <item x="546"/>
        <item x="364"/>
        <item x="607"/>
        <item x="398"/>
        <item x="609"/>
        <item x="471"/>
        <item x="336"/>
        <item x="143"/>
        <item x="194"/>
        <item x="224"/>
        <item x="604"/>
        <item x="188"/>
        <item x="596"/>
        <item x="379"/>
        <item x="494"/>
        <item x="435"/>
        <item x="269"/>
        <item x="601"/>
        <item x="172"/>
        <item x="22"/>
        <item x="394"/>
        <item x="296"/>
        <item x="440"/>
        <item x="505"/>
        <item x="265"/>
        <item x="203"/>
        <item x="381"/>
        <item x="113"/>
        <item x="555"/>
        <item x="532"/>
        <item x="77"/>
        <item x="341"/>
        <item x="38"/>
        <item x="428"/>
        <item x="2"/>
        <item x="329"/>
        <item x="34"/>
        <item x="424"/>
        <item x="447"/>
        <item x="316"/>
        <item x="241"/>
        <item x="399"/>
        <item x="618"/>
        <item x="509"/>
        <item x="542"/>
        <item x="337"/>
        <item x="561"/>
        <item x="1"/>
        <item x="145"/>
        <item x="392"/>
        <item x="452"/>
        <item x="320"/>
        <item x="161"/>
        <item x="357"/>
        <item x="294"/>
        <item x="331"/>
        <item x="359"/>
        <item x="389"/>
        <item x="96"/>
        <item x="213"/>
        <item x="439"/>
        <item x="576"/>
        <item x="503"/>
        <item x="409"/>
        <item x="174"/>
        <item x="208"/>
        <item x="160"/>
        <item x="483"/>
        <item x="201"/>
        <item x="219"/>
        <item x="459"/>
        <item x="358"/>
        <item x="263"/>
        <item x="557"/>
        <item x="332"/>
        <item x="369"/>
        <item x="153"/>
        <item x="244"/>
        <item x="193"/>
        <item x="195"/>
        <item x="319"/>
        <item x="612"/>
        <item x="474"/>
        <item x="456"/>
        <item x="104"/>
        <item x="134"/>
        <item x="437"/>
        <item x="27"/>
        <item x="14"/>
        <item x="243"/>
        <item x="574"/>
        <item x="142"/>
        <item x="570"/>
        <item x="522"/>
        <item x="305"/>
        <item x="109"/>
        <item x="434"/>
        <item x="322"/>
        <item x="95"/>
        <item x="489"/>
        <item x="621"/>
        <item x="60"/>
        <item x="283"/>
        <item x="382"/>
        <item x="506"/>
        <item x="552"/>
        <item x="112"/>
        <item x="273"/>
        <item x="102"/>
        <item x="386"/>
        <item x="268"/>
        <item x="196"/>
        <item x="512"/>
        <item x="73"/>
        <item x="281"/>
        <item x="187"/>
        <item x="308"/>
        <item x="307"/>
        <item x="346"/>
        <item x="255"/>
        <item x="342"/>
        <item x="223"/>
        <item x="325"/>
        <item x="500"/>
        <item x="501"/>
        <item x="258"/>
        <item x="438"/>
        <item x="125"/>
        <item x="584"/>
        <item x="94"/>
        <item x="260"/>
        <item x="17"/>
        <item x="293"/>
        <item x="495"/>
        <item x="374"/>
        <item x="326"/>
        <item x="26"/>
        <item x="408"/>
        <item x="429"/>
        <item x="249"/>
        <item x="254"/>
        <item x="8"/>
        <item x="12"/>
        <item x="119"/>
        <item x="28"/>
        <item x="441"/>
        <item x="580"/>
        <item x="49"/>
        <item x="43"/>
        <item x="267"/>
        <item x="32"/>
        <item x="279"/>
        <item x="516"/>
        <item x="173"/>
        <item x="606"/>
        <item x="168"/>
        <item x="423"/>
        <item x="538"/>
        <item x="124"/>
        <item x="155"/>
        <item x="237"/>
        <item x="402"/>
        <item x="66"/>
        <item x="404"/>
        <item x="426"/>
        <item x="321"/>
        <item x="513"/>
        <item x="355"/>
        <item x="554"/>
        <item x="365"/>
        <item x="517"/>
        <item x="301"/>
        <item x="317"/>
        <item x="311"/>
        <item x="377"/>
        <item x="98"/>
        <item x="211"/>
        <item x="61"/>
        <item x="368"/>
        <item x="140"/>
        <item x="82"/>
        <item x="334"/>
        <item x="600"/>
        <item x="121"/>
        <item x="16"/>
        <item x="48"/>
        <item x="245"/>
        <item x="225"/>
        <item x="186"/>
        <item x="304"/>
        <item x="556"/>
        <item x="246"/>
        <item x="100"/>
        <item x="299"/>
        <item x="496"/>
        <item x="484"/>
        <item x="566"/>
        <item x="469"/>
        <item x="372"/>
        <item x="91"/>
        <item x="485"/>
        <item x="442"/>
        <item x="499"/>
        <item x="528"/>
        <item x="582"/>
        <item x="148"/>
        <item x="487"/>
        <item x="462"/>
        <item x="139"/>
        <item x="222"/>
        <item x="89"/>
        <item x="59"/>
        <item x="64"/>
        <item x="622"/>
        <item x="446"/>
        <item x="472"/>
        <item x="276"/>
        <item x="356"/>
        <item x="569"/>
        <item x="354"/>
        <item x="328"/>
        <item x="127"/>
        <item x="534"/>
        <item x="610"/>
        <item x="480"/>
        <item x="229"/>
        <item x="461"/>
        <item x="264"/>
        <item x="202"/>
        <item x="97"/>
        <item x="42"/>
        <item x="101"/>
        <item x="163"/>
        <item x="114"/>
        <item x="318"/>
        <item x="338"/>
        <item x="233"/>
        <item x="470"/>
        <item x="481"/>
        <item x="55"/>
        <item x="289"/>
        <item x="460"/>
        <item x="575"/>
        <item x="353"/>
        <item x="166"/>
        <item x="613"/>
        <item x="122"/>
        <item x="586"/>
        <item x="508"/>
        <item x="519"/>
        <item x="349"/>
        <item x="348"/>
        <item x="488"/>
        <item x="274"/>
        <item x="130"/>
        <item x="81"/>
        <item x="533"/>
        <item x="465"/>
        <item x="147"/>
        <item x="466"/>
        <item x="78"/>
        <item x="339"/>
        <item x="214"/>
        <item x="79"/>
        <item x="286"/>
        <item x="467"/>
        <item x="345"/>
        <item x="418"/>
        <item x="9"/>
        <item x="333"/>
        <item x="567"/>
        <item x="415"/>
        <item x="527"/>
        <item x="295"/>
        <item x="479"/>
        <item x="616"/>
        <item x="262"/>
        <item x="181"/>
        <item x="450"/>
        <item x="545"/>
        <item x="475"/>
        <item x="579"/>
        <item x="414"/>
        <item x="617"/>
        <item x="206"/>
        <item x="312"/>
        <item x="564"/>
        <item x="190"/>
        <item x="165"/>
        <item x="197"/>
        <item x="287"/>
        <item x="56"/>
        <item x="551"/>
        <item x="436"/>
        <item x="602"/>
        <item x="205"/>
        <item x="259"/>
        <item x="476"/>
        <item x="159"/>
        <item x="141"/>
        <item x="589"/>
        <item x="126"/>
        <item x="272"/>
        <item x="0"/>
        <item x="491"/>
        <item x="520"/>
        <item x="473"/>
        <item x="451"/>
        <item x="226"/>
        <item x="62"/>
        <item x="388"/>
        <item x="543"/>
        <item x="421"/>
        <item x="182"/>
        <item x="614"/>
        <item x="577"/>
        <item x="572"/>
        <item x="521"/>
        <item x="453"/>
        <item x="170"/>
        <item x="558"/>
        <item x="413"/>
        <item x="430"/>
        <item x="492"/>
        <item x="563"/>
        <item x="507"/>
        <item x="327"/>
        <item x="384"/>
        <item x="324"/>
        <item x="171"/>
        <item x="573"/>
        <item x="303"/>
        <item x="90"/>
        <item x="88"/>
        <item x="216"/>
        <item x="590"/>
        <item x="290"/>
        <item x="69"/>
        <item x="80"/>
        <item x="313"/>
        <item x="149"/>
        <item x="292"/>
        <item x="373"/>
        <item x="457"/>
        <item x="371"/>
        <item x="523"/>
        <item x="231"/>
        <item x="378"/>
        <item x="230"/>
        <item x="416"/>
        <item x="52"/>
        <item x="21"/>
        <item x="137"/>
        <item x="234"/>
        <item x="383"/>
        <item x="15"/>
        <item x="191"/>
        <item x="251"/>
        <item x="218"/>
        <item x="400"/>
        <item x="176"/>
        <item x="183"/>
        <item x="363"/>
        <item x="221"/>
        <item x="71"/>
        <item x="490"/>
        <item x="242"/>
        <item x="207"/>
        <item x="236"/>
        <item x="410"/>
        <item x="275"/>
        <item x="123"/>
        <item x="13"/>
        <item x="536"/>
        <item x="541"/>
        <item x="352"/>
        <item x="478"/>
        <item x="10"/>
        <item x="370"/>
        <item x="598"/>
        <item x="360"/>
        <item x="403"/>
        <item x="367"/>
        <item x="220"/>
        <item x="67"/>
        <item x="177"/>
        <item x="86"/>
        <item x="407"/>
        <item x="107"/>
        <item x="235"/>
        <item x="74"/>
        <item x="323"/>
        <item x="200"/>
        <item x="180"/>
        <item x="215"/>
        <item x="366"/>
        <item x="549"/>
        <item x="611"/>
        <item x="420"/>
        <item x="314"/>
        <item x="401"/>
        <item x="514"/>
        <item x="238"/>
        <item x="587"/>
        <item x="144"/>
        <item x="417"/>
        <item x="464"/>
        <item x="280"/>
        <item x="340"/>
        <item x="531"/>
        <item x="185"/>
        <item x="608"/>
        <item x="530"/>
        <item x="239"/>
        <item x="548"/>
        <item x="432"/>
        <item x="179"/>
        <item x="45"/>
        <item x="232"/>
        <item x="510"/>
        <item x="315"/>
        <item x="498"/>
        <item x="164"/>
        <item x="40"/>
        <item x="330"/>
        <item x="335"/>
        <item x="306"/>
        <item x="497"/>
        <item x="248"/>
        <item x="444"/>
        <item x="591"/>
        <item x="75"/>
        <item x="136"/>
        <item x="250"/>
        <item x="72"/>
        <item x="217"/>
        <item x="560"/>
        <item x="443"/>
        <item x="33"/>
        <item x="11"/>
        <item x="7"/>
        <item x="175"/>
        <item x="526"/>
        <item x="3"/>
        <item x="463"/>
        <item x="105"/>
        <item x="493"/>
        <item x="511"/>
        <item x="310"/>
        <item x="405"/>
        <item x="362"/>
        <item x="150"/>
        <item x="178"/>
        <item t="default"/>
      </items>
    </pivotField>
    <pivotField dataField="1" showAll="0"/>
    <pivotField dataField="1" showAll="0"/>
    <pivotField showAll="0"/>
    <pivotField showAll="0"/>
    <pivotField showAll="0">
      <items count="7">
        <item x="5"/>
        <item x="4"/>
        <item x="3"/>
        <item x="2"/>
        <item x="1"/>
        <item x="0"/>
        <item t="default"/>
      </items>
    </pivotField>
    <pivotField axis="axisRow" showAll="0" sortType="descending">
      <items count="5">
        <item x="0"/>
        <item x="2"/>
        <item x="1"/>
        <item x="3"/>
        <item t="default"/>
      </items>
    </pivotField>
  </pivotFields>
  <rowFields count="1">
    <field x="6"/>
  </rowFields>
  <rowItems count="5">
    <i>
      <x/>
    </i>
    <i>
      <x v="1"/>
    </i>
    <i>
      <x v="2"/>
    </i>
    <i>
      <x v="3"/>
    </i>
    <i t="grand">
      <x/>
    </i>
  </rowItems>
  <colFields count="1">
    <field x="-2"/>
  </colFields>
  <colItems count="3">
    <i>
      <x/>
    </i>
    <i i="1">
      <x v="1"/>
    </i>
    <i i="2">
      <x v="2"/>
    </i>
  </colItems>
  <dataFields count="3">
    <dataField name="Count of Anime Title" fld="0" subtotal="count" baseField="0" baseItem="0"/>
    <dataField name="Average of Rating/Score" fld="2" subtotal="average" baseField="6" baseItem="0" numFmtId="2"/>
    <dataField name="Sum of Popularity/Members" fld="1" baseField="0" baseItem="0"/>
  </dataFields>
  <formats count="2">
    <format dxfId="5">
      <pivotArea outline="0" collapsedLevelsAreSubtotals="1" fieldPosition="0">
        <references count="1">
          <reference field="4294967294" count="1" selected="0">
            <x v="1"/>
          </reference>
        </references>
      </pivotArea>
    </format>
    <format dxfId="4">
      <pivotArea dataOnly="0" labelOnly="1" outline="0" fieldPosition="0">
        <references count="1">
          <reference field="4294967294" count="1">
            <x v="1"/>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1"/>
          </reference>
        </references>
      </pivotArea>
    </chartFormat>
    <chartFormat chart="7" format="7"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4E2562F2-5782-47CE-81A8-19058E63B17D}"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07:B391" firstHeaderRow="1" firstDataRow="1" firstDataCol="1"/>
  <pivotFields count="7">
    <pivotField showAll="0">
      <items count="624">
        <item x="23"/>
        <item x="427"/>
        <item x="291"/>
        <item x="4"/>
        <item x="300"/>
        <item x="571"/>
        <item x="29"/>
        <item x="550"/>
        <item x="535"/>
        <item x="595"/>
        <item x="486"/>
        <item x="198"/>
        <item x="588"/>
        <item x="524"/>
        <item x="209"/>
        <item x="278"/>
        <item x="152"/>
        <item x="482"/>
        <item x="257"/>
        <item x="24"/>
        <item x="154"/>
        <item x="83"/>
        <item x="135"/>
        <item x="288"/>
        <item x="118"/>
        <item x="515"/>
        <item x="189"/>
        <item x="228"/>
        <item x="261"/>
        <item x="128"/>
        <item x="39"/>
        <item x="54"/>
        <item x="240"/>
        <item x="210"/>
        <item x="115"/>
        <item x="477"/>
        <item x="132"/>
        <item x="35"/>
        <item x="117"/>
        <item x="593"/>
        <item x="425"/>
        <item x="620"/>
        <item x="65"/>
        <item x="603"/>
        <item x="553"/>
        <item x="385"/>
        <item x="449"/>
        <item x="540"/>
        <item x="406"/>
        <item x="351"/>
        <item x="391"/>
        <item x="615"/>
        <item x="539"/>
        <item x="393"/>
        <item x="302"/>
        <item x="227"/>
        <item x="433"/>
        <item x="253"/>
        <item x="468"/>
        <item x="578"/>
        <item x="390"/>
        <item x="120"/>
        <item x="458"/>
        <item x="284"/>
        <item x="376"/>
        <item x="375"/>
        <item x="47"/>
        <item x="192"/>
        <item x="30"/>
        <item x="138"/>
        <item x="129"/>
        <item x="57"/>
        <item x="51"/>
        <item x="252"/>
        <item x="63"/>
        <item x="585"/>
        <item x="594"/>
        <item x="106"/>
        <item x="212"/>
        <item x="169"/>
        <item x="396"/>
        <item x="350"/>
        <item x="157"/>
        <item x="25"/>
        <item x="529"/>
        <item x="537"/>
        <item x="565"/>
        <item x="277"/>
        <item x="99"/>
        <item x="256"/>
        <item x="70"/>
        <item x="68"/>
        <item x="37"/>
        <item x="431"/>
        <item x="454"/>
        <item x="518"/>
        <item x="103"/>
        <item x="92"/>
        <item x="547"/>
        <item x="133"/>
        <item x="247"/>
        <item x="504"/>
        <item x="380"/>
        <item x="131"/>
        <item x="361"/>
        <item x="387"/>
        <item x="419"/>
        <item x="199"/>
        <item x="5"/>
        <item x="20"/>
        <item x="87"/>
        <item x="146"/>
        <item x="397"/>
        <item x="156"/>
        <item x="6"/>
        <item x="309"/>
        <item x="619"/>
        <item x="592"/>
        <item x="347"/>
        <item x="544"/>
        <item x="599"/>
        <item x="448"/>
        <item x="343"/>
        <item x="110"/>
        <item x="583"/>
        <item x="395"/>
        <item x="50"/>
        <item x="158"/>
        <item x="525"/>
        <item x="58"/>
        <item x="266"/>
        <item x="445"/>
        <item x="298"/>
        <item x="85"/>
        <item x="53"/>
        <item x="455"/>
        <item x="605"/>
        <item x="19"/>
        <item x="36"/>
        <item x="167"/>
        <item x="422"/>
        <item x="76"/>
        <item x="568"/>
        <item x="108"/>
        <item x="184"/>
        <item x="282"/>
        <item x="204"/>
        <item x="84"/>
        <item x="31"/>
        <item x="271"/>
        <item x="344"/>
        <item x="502"/>
        <item x="411"/>
        <item x="559"/>
        <item x="116"/>
        <item x="151"/>
        <item x="297"/>
        <item x="581"/>
        <item x="18"/>
        <item x="597"/>
        <item x="412"/>
        <item x="270"/>
        <item x="44"/>
        <item x="562"/>
        <item x="162"/>
        <item x="41"/>
        <item x="46"/>
        <item x="285"/>
        <item x="111"/>
        <item x="93"/>
        <item x="546"/>
        <item x="364"/>
        <item x="607"/>
        <item x="398"/>
        <item x="609"/>
        <item x="471"/>
        <item x="336"/>
        <item x="143"/>
        <item x="194"/>
        <item x="224"/>
        <item x="604"/>
        <item x="188"/>
        <item x="596"/>
        <item x="379"/>
        <item x="494"/>
        <item x="435"/>
        <item x="269"/>
        <item x="601"/>
        <item x="172"/>
        <item x="22"/>
        <item x="394"/>
        <item x="296"/>
        <item x="440"/>
        <item x="505"/>
        <item x="265"/>
        <item x="203"/>
        <item x="381"/>
        <item x="113"/>
        <item x="555"/>
        <item x="532"/>
        <item x="77"/>
        <item x="341"/>
        <item x="38"/>
        <item x="428"/>
        <item x="2"/>
        <item x="329"/>
        <item x="34"/>
        <item x="424"/>
        <item x="447"/>
        <item x="316"/>
        <item x="241"/>
        <item x="399"/>
        <item x="618"/>
        <item x="509"/>
        <item x="542"/>
        <item x="337"/>
        <item x="561"/>
        <item x="1"/>
        <item x="145"/>
        <item x="392"/>
        <item x="452"/>
        <item x="320"/>
        <item x="161"/>
        <item x="357"/>
        <item x="294"/>
        <item x="331"/>
        <item x="359"/>
        <item x="389"/>
        <item x="96"/>
        <item x="213"/>
        <item x="439"/>
        <item x="576"/>
        <item x="503"/>
        <item x="409"/>
        <item x="174"/>
        <item x="208"/>
        <item x="160"/>
        <item x="483"/>
        <item x="201"/>
        <item x="219"/>
        <item x="459"/>
        <item x="358"/>
        <item x="263"/>
        <item x="557"/>
        <item x="332"/>
        <item x="369"/>
        <item x="153"/>
        <item x="244"/>
        <item x="193"/>
        <item x="195"/>
        <item x="319"/>
        <item x="612"/>
        <item x="474"/>
        <item x="456"/>
        <item x="104"/>
        <item x="134"/>
        <item x="437"/>
        <item x="27"/>
        <item x="14"/>
        <item x="243"/>
        <item x="574"/>
        <item x="142"/>
        <item x="570"/>
        <item x="522"/>
        <item x="305"/>
        <item x="109"/>
        <item x="434"/>
        <item x="322"/>
        <item x="95"/>
        <item x="489"/>
        <item x="621"/>
        <item x="60"/>
        <item x="283"/>
        <item x="382"/>
        <item x="506"/>
        <item x="552"/>
        <item x="112"/>
        <item x="273"/>
        <item x="102"/>
        <item x="386"/>
        <item x="268"/>
        <item x="196"/>
        <item x="512"/>
        <item x="73"/>
        <item x="281"/>
        <item x="187"/>
        <item x="308"/>
        <item x="307"/>
        <item x="346"/>
        <item x="255"/>
        <item x="342"/>
        <item x="223"/>
        <item x="325"/>
        <item x="500"/>
        <item x="501"/>
        <item x="258"/>
        <item x="438"/>
        <item x="125"/>
        <item x="584"/>
        <item x="94"/>
        <item x="260"/>
        <item x="17"/>
        <item x="293"/>
        <item x="495"/>
        <item x="374"/>
        <item x="326"/>
        <item x="26"/>
        <item x="408"/>
        <item x="429"/>
        <item x="249"/>
        <item x="254"/>
        <item x="8"/>
        <item x="12"/>
        <item x="119"/>
        <item x="28"/>
        <item x="441"/>
        <item x="580"/>
        <item x="49"/>
        <item x="43"/>
        <item x="267"/>
        <item x="32"/>
        <item x="279"/>
        <item x="516"/>
        <item x="173"/>
        <item x="606"/>
        <item x="168"/>
        <item x="423"/>
        <item x="538"/>
        <item x="124"/>
        <item x="155"/>
        <item x="237"/>
        <item x="402"/>
        <item x="66"/>
        <item x="404"/>
        <item x="426"/>
        <item x="321"/>
        <item x="513"/>
        <item x="355"/>
        <item x="554"/>
        <item x="365"/>
        <item x="517"/>
        <item x="301"/>
        <item x="317"/>
        <item x="311"/>
        <item x="377"/>
        <item x="98"/>
        <item x="211"/>
        <item x="61"/>
        <item x="368"/>
        <item x="140"/>
        <item x="82"/>
        <item x="334"/>
        <item x="600"/>
        <item x="121"/>
        <item x="16"/>
        <item x="48"/>
        <item x="245"/>
        <item x="225"/>
        <item x="186"/>
        <item x="304"/>
        <item x="556"/>
        <item x="246"/>
        <item x="100"/>
        <item x="299"/>
        <item x="496"/>
        <item x="484"/>
        <item x="566"/>
        <item x="469"/>
        <item x="372"/>
        <item x="91"/>
        <item x="485"/>
        <item x="442"/>
        <item x="499"/>
        <item x="528"/>
        <item x="582"/>
        <item x="148"/>
        <item x="487"/>
        <item x="462"/>
        <item x="139"/>
        <item x="222"/>
        <item x="89"/>
        <item x="59"/>
        <item x="64"/>
        <item x="622"/>
        <item x="446"/>
        <item x="472"/>
        <item x="276"/>
        <item x="356"/>
        <item x="569"/>
        <item x="354"/>
        <item x="328"/>
        <item x="127"/>
        <item x="534"/>
        <item x="610"/>
        <item x="480"/>
        <item x="229"/>
        <item x="461"/>
        <item x="264"/>
        <item x="202"/>
        <item x="97"/>
        <item x="42"/>
        <item x="101"/>
        <item x="163"/>
        <item x="114"/>
        <item x="318"/>
        <item x="338"/>
        <item x="233"/>
        <item x="470"/>
        <item x="481"/>
        <item x="55"/>
        <item x="289"/>
        <item x="460"/>
        <item x="575"/>
        <item x="353"/>
        <item x="166"/>
        <item x="613"/>
        <item x="122"/>
        <item x="586"/>
        <item x="508"/>
        <item x="519"/>
        <item x="349"/>
        <item x="348"/>
        <item x="488"/>
        <item x="274"/>
        <item x="130"/>
        <item x="81"/>
        <item x="533"/>
        <item x="465"/>
        <item x="147"/>
        <item x="466"/>
        <item x="78"/>
        <item x="339"/>
        <item x="214"/>
        <item x="79"/>
        <item x="286"/>
        <item x="467"/>
        <item x="345"/>
        <item x="418"/>
        <item x="9"/>
        <item x="333"/>
        <item x="567"/>
        <item x="415"/>
        <item x="527"/>
        <item x="295"/>
        <item x="479"/>
        <item x="616"/>
        <item x="262"/>
        <item x="181"/>
        <item x="450"/>
        <item x="545"/>
        <item x="475"/>
        <item x="579"/>
        <item x="414"/>
        <item x="617"/>
        <item x="206"/>
        <item x="312"/>
        <item x="564"/>
        <item x="190"/>
        <item x="165"/>
        <item x="197"/>
        <item x="287"/>
        <item x="56"/>
        <item x="551"/>
        <item x="436"/>
        <item x="602"/>
        <item x="205"/>
        <item x="259"/>
        <item x="476"/>
        <item x="159"/>
        <item x="141"/>
        <item x="589"/>
        <item x="126"/>
        <item x="272"/>
        <item x="0"/>
        <item x="491"/>
        <item x="520"/>
        <item x="473"/>
        <item x="451"/>
        <item x="226"/>
        <item x="62"/>
        <item x="388"/>
        <item x="543"/>
        <item x="421"/>
        <item x="182"/>
        <item x="614"/>
        <item x="577"/>
        <item x="572"/>
        <item x="521"/>
        <item x="453"/>
        <item x="170"/>
        <item x="558"/>
        <item x="413"/>
        <item x="430"/>
        <item x="492"/>
        <item x="563"/>
        <item x="507"/>
        <item x="327"/>
        <item x="384"/>
        <item x="324"/>
        <item x="171"/>
        <item x="573"/>
        <item x="303"/>
        <item x="90"/>
        <item x="88"/>
        <item x="216"/>
        <item x="590"/>
        <item x="290"/>
        <item x="69"/>
        <item x="80"/>
        <item x="313"/>
        <item x="149"/>
        <item x="292"/>
        <item x="373"/>
        <item x="457"/>
        <item x="371"/>
        <item x="523"/>
        <item x="231"/>
        <item x="378"/>
        <item x="230"/>
        <item x="416"/>
        <item x="52"/>
        <item x="21"/>
        <item x="137"/>
        <item x="234"/>
        <item x="383"/>
        <item x="15"/>
        <item x="191"/>
        <item x="251"/>
        <item x="218"/>
        <item x="400"/>
        <item x="176"/>
        <item x="183"/>
        <item x="363"/>
        <item x="221"/>
        <item x="71"/>
        <item x="490"/>
        <item x="242"/>
        <item x="207"/>
        <item x="236"/>
        <item x="410"/>
        <item x="275"/>
        <item x="123"/>
        <item x="13"/>
        <item x="536"/>
        <item x="541"/>
        <item x="352"/>
        <item x="478"/>
        <item x="10"/>
        <item x="370"/>
        <item x="598"/>
        <item x="360"/>
        <item x="403"/>
        <item x="367"/>
        <item x="220"/>
        <item x="67"/>
        <item x="177"/>
        <item x="86"/>
        <item x="407"/>
        <item x="107"/>
        <item x="235"/>
        <item x="74"/>
        <item x="323"/>
        <item x="200"/>
        <item x="180"/>
        <item x="215"/>
        <item x="366"/>
        <item x="549"/>
        <item x="611"/>
        <item x="420"/>
        <item x="314"/>
        <item x="401"/>
        <item x="514"/>
        <item x="238"/>
        <item x="587"/>
        <item x="144"/>
        <item x="417"/>
        <item x="464"/>
        <item x="280"/>
        <item x="340"/>
        <item x="531"/>
        <item x="185"/>
        <item x="608"/>
        <item x="530"/>
        <item x="239"/>
        <item x="548"/>
        <item x="432"/>
        <item x="179"/>
        <item x="45"/>
        <item x="232"/>
        <item x="510"/>
        <item x="315"/>
        <item x="498"/>
        <item x="164"/>
        <item x="40"/>
        <item x="330"/>
        <item x="335"/>
        <item x="306"/>
        <item x="497"/>
        <item x="248"/>
        <item x="444"/>
        <item x="591"/>
        <item x="75"/>
        <item x="136"/>
        <item x="250"/>
        <item x="72"/>
        <item x="217"/>
        <item x="560"/>
        <item x="443"/>
        <item x="33"/>
        <item x="11"/>
        <item x="7"/>
        <item x="175"/>
        <item x="526"/>
        <item x="3"/>
        <item x="463"/>
        <item x="105"/>
        <item x="493"/>
        <item x="511"/>
        <item x="310"/>
        <item x="405"/>
        <item x="362"/>
        <item x="150"/>
        <item x="178"/>
        <item t="default"/>
      </items>
    </pivotField>
    <pivotField dataField="1" showAll="0"/>
    <pivotField axis="axisRow" numFmtId="164" showAll="0">
      <items count="284">
        <item x="37"/>
        <item x="168"/>
        <item x="282"/>
        <item x="267"/>
        <item x="269"/>
        <item x="237"/>
        <item x="110"/>
        <item x="272"/>
        <item x="248"/>
        <item x="250"/>
        <item x="262"/>
        <item x="279"/>
        <item x="252"/>
        <item x="202"/>
        <item x="55"/>
        <item x="222"/>
        <item x="42"/>
        <item x="270"/>
        <item x="142"/>
        <item x="38"/>
        <item x="275"/>
        <item x="40"/>
        <item x="233"/>
        <item x="241"/>
        <item x="249"/>
        <item x="236"/>
        <item x="41"/>
        <item x="101"/>
        <item x="205"/>
        <item x="234"/>
        <item x="229"/>
        <item x="124"/>
        <item x="147"/>
        <item x="172"/>
        <item x="126"/>
        <item x="271"/>
        <item x="223"/>
        <item x="166"/>
        <item x="119"/>
        <item x="191"/>
        <item x="280"/>
        <item x="108"/>
        <item x="193"/>
        <item x="149"/>
        <item x="261"/>
        <item x="274"/>
        <item x="208"/>
        <item x="146"/>
        <item x="214"/>
        <item x="23"/>
        <item x="177"/>
        <item x="206"/>
        <item x="105"/>
        <item x="129"/>
        <item x="139"/>
        <item x="260"/>
        <item x="281"/>
        <item x="228"/>
        <item x="50"/>
        <item x="138"/>
        <item x="22"/>
        <item x="117"/>
        <item x="36"/>
        <item x="212"/>
        <item x="11"/>
        <item x="175"/>
        <item x="34"/>
        <item x="251"/>
        <item x="243"/>
        <item x="185"/>
        <item x="43"/>
        <item x="72"/>
        <item x="97"/>
        <item x="102"/>
        <item x="150"/>
        <item x="176"/>
        <item x="235"/>
        <item x="51"/>
        <item x="154"/>
        <item x="53"/>
        <item x="85"/>
        <item x="125"/>
        <item x="221"/>
        <item x="128"/>
        <item x="201"/>
        <item x="78"/>
        <item x="192"/>
        <item x="33"/>
        <item x="257"/>
        <item x="121"/>
        <item x="99"/>
        <item x="170"/>
        <item x="16"/>
        <item x="28"/>
        <item x="32"/>
        <item x="118"/>
        <item x="100"/>
        <item x="137"/>
        <item x="95"/>
        <item x="7"/>
        <item x="14"/>
        <item x="200"/>
        <item x="226"/>
        <item x="73"/>
        <item x="157"/>
        <item x="140"/>
        <item x="204"/>
        <item x="94"/>
        <item x="165"/>
        <item x="35"/>
        <item x="106"/>
        <item x="15"/>
        <item x="29"/>
        <item x="123"/>
        <item x="153"/>
        <item x="156"/>
        <item x="174"/>
        <item x="77"/>
        <item x="184"/>
        <item x="71"/>
        <item x="278"/>
        <item x="66"/>
        <item x="67"/>
        <item x="26"/>
        <item x="225"/>
        <item x="148"/>
        <item x="30"/>
        <item x="242"/>
        <item x="122"/>
        <item x="258"/>
        <item x="115"/>
        <item x="24"/>
        <item x="158"/>
        <item x="136"/>
        <item x="211"/>
        <item x="74"/>
        <item x="240"/>
        <item x="19"/>
        <item x="164"/>
        <item x="120"/>
        <item x="86"/>
        <item x="103"/>
        <item x="203"/>
        <item x="107"/>
        <item x="98"/>
        <item x="21"/>
        <item x="17"/>
        <item x="9"/>
        <item x="213"/>
        <item x="219"/>
        <item x="224"/>
        <item x="199"/>
        <item x="160"/>
        <item x="255"/>
        <item x="12"/>
        <item x="84"/>
        <item x="54"/>
        <item x="173"/>
        <item x="70"/>
        <item x="25"/>
        <item x="141"/>
        <item x="10"/>
        <item x="109"/>
        <item x="65"/>
        <item x="167"/>
        <item x="69"/>
        <item x="46"/>
        <item x="8"/>
        <item x="171"/>
        <item x="52"/>
        <item x="45"/>
        <item x="161"/>
        <item x="13"/>
        <item x="96"/>
        <item x="59"/>
        <item x="49"/>
        <item x="182"/>
        <item x="116"/>
        <item x="39"/>
        <item x="217"/>
        <item x="93"/>
        <item x="273"/>
        <item x="89"/>
        <item x="163"/>
        <item x="127"/>
        <item x="20"/>
        <item x="83"/>
        <item x="218"/>
        <item x="245"/>
        <item x="169"/>
        <item x="196"/>
        <item x="155"/>
        <item x="259"/>
        <item x="189"/>
        <item x="76"/>
        <item x="227"/>
        <item x="180"/>
        <item x="131"/>
        <item x="31"/>
        <item x="47"/>
        <item x="198"/>
        <item x="61"/>
        <item x="220"/>
        <item x="216"/>
        <item x="48"/>
        <item x="92"/>
        <item x="133"/>
        <item x="179"/>
        <item x="68"/>
        <item x="190"/>
        <item x="210"/>
        <item x="82"/>
        <item x="268"/>
        <item x="132"/>
        <item x="162"/>
        <item x="256"/>
        <item x="253"/>
        <item x="63"/>
        <item x="75"/>
        <item x="194"/>
        <item x="231"/>
        <item x="188"/>
        <item x="134"/>
        <item x="197"/>
        <item x="195"/>
        <item x="5"/>
        <item x="232"/>
        <item x="112"/>
        <item x="135"/>
        <item x="44"/>
        <item x="3"/>
        <item x="181"/>
        <item x="2"/>
        <item x="80"/>
        <item x="79"/>
        <item x="265"/>
        <item x="91"/>
        <item x="114"/>
        <item x="60"/>
        <item x="238"/>
        <item x="81"/>
        <item x="87"/>
        <item x="152"/>
        <item x="64"/>
        <item x="246"/>
        <item x="104"/>
        <item x="6"/>
        <item x="18"/>
        <item x="209"/>
        <item x="111"/>
        <item x="239"/>
        <item x="27"/>
        <item x="247"/>
        <item x="62"/>
        <item x="57"/>
        <item x="264"/>
        <item x="58"/>
        <item x="130"/>
        <item x="230"/>
        <item x="88"/>
        <item x="159"/>
        <item x="178"/>
        <item x="254"/>
        <item x="145"/>
        <item x="207"/>
        <item x="277"/>
        <item x="1"/>
        <item x="144"/>
        <item x="183"/>
        <item x="113"/>
        <item x="4"/>
        <item x="143"/>
        <item x="244"/>
        <item x="266"/>
        <item x="215"/>
        <item x="187"/>
        <item x="90"/>
        <item x="276"/>
        <item x="0"/>
        <item x="263"/>
        <item x="151"/>
        <item x="56"/>
        <item x="186"/>
        <item t="default"/>
      </items>
    </pivotField>
    <pivotField showAll="0"/>
    <pivotField showAll="0"/>
    <pivotField showAll="0">
      <items count="7">
        <item x="5"/>
        <item x="4"/>
        <item x="3"/>
        <item x="2"/>
        <item x="1"/>
        <item x="0"/>
        <item t="default"/>
      </items>
    </pivotField>
    <pivotField showAll="0" sortType="descending">
      <items count="5">
        <item x="0"/>
        <item x="2"/>
        <item x="1"/>
        <item x="3"/>
        <item t="default"/>
      </items>
    </pivotField>
  </pivotFields>
  <rowFields count="1">
    <field x="2"/>
  </rowFields>
  <rowItems count="28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t="grand">
      <x/>
    </i>
  </rowItems>
  <colItems count="1">
    <i/>
  </colItems>
  <dataFields count="1">
    <dataField name="Sum of Popularity/Members" fld="1"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CB26E0C-A89A-4590-860F-3CFA6DB24D7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72:B74" firstHeaderRow="1" firstDataRow="1" firstDataCol="1"/>
  <pivotFields count="7">
    <pivotField dataField="1" showAll="0">
      <items count="624">
        <item x="23"/>
        <item x="427"/>
        <item x="291"/>
        <item x="4"/>
        <item x="300"/>
        <item x="571"/>
        <item x="29"/>
        <item x="550"/>
        <item x="535"/>
        <item x="595"/>
        <item x="486"/>
        <item x="198"/>
        <item x="588"/>
        <item x="524"/>
        <item x="209"/>
        <item x="278"/>
        <item x="152"/>
        <item x="482"/>
        <item x="257"/>
        <item x="24"/>
        <item x="154"/>
        <item x="83"/>
        <item x="135"/>
        <item x="288"/>
        <item x="118"/>
        <item x="515"/>
        <item x="189"/>
        <item x="228"/>
        <item x="261"/>
        <item x="128"/>
        <item x="39"/>
        <item x="54"/>
        <item x="240"/>
        <item x="210"/>
        <item x="115"/>
        <item x="477"/>
        <item x="132"/>
        <item x="35"/>
        <item x="117"/>
        <item x="593"/>
        <item x="425"/>
        <item x="620"/>
        <item x="65"/>
        <item x="603"/>
        <item x="553"/>
        <item x="385"/>
        <item x="449"/>
        <item x="540"/>
        <item x="406"/>
        <item x="351"/>
        <item x="391"/>
        <item x="615"/>
        <item x="539"/>
        <item x="393"/>
        <item x="302"/>
        <item x="227"/>
        <item x="433"/>
        <item x="253"/>
        <item x="468"/>
        <item x="578"/>
        <item x="390"/>
        <item x="120"/>
        <item x="458"/>
        <item x="284"/>
        <item x="376"/>
        <item x="375"/>
        <item x="47"/>
        <item x="192"/>
        <item x="30"/>
        <item x="138"/>
        <item x="129"/>
        <item x="57"/>
        <item x="51"/>
        <item x="252"/>
        <item x="63"/>
        <item x="585"/>
        <item x="594"/>
        <item x="106"/>
        <item x="212"/>
        <item x="169"/>
        <item x="396"/>
        <item x="350"/>
        <item x="157"/>
        <item x="25"/>
        <item x="529"/>
        <item x="537"/>
        <item x="565"/>
        <item x="277"/>
        <item x="99"/>
        <item x="256"/>
        <item x="70"/>
        <item x="68"/>
        <item x="37"/>
        <item x="431"/>
        <item x="454"/>
        <item x="518"/>
        <item x="103"/>
        <item x="92"/>
        <item x="547"/>
        <item x="133"/>
        <item x="247"/>
        <item x="504"/>
        <item x="380"/>
        <item x="131"/>
        <item x="361"/>
        <item x="387"/>
        <item x="419"/>
        <item x="199"/>
        <item x="5"/>
        <item x="20"/>
        <item x="87"/>
        <item x="146"/>
        <item x="397"/>
        <item x="156"/>
        <item x="6"/>
        <item x="309"/>
        <item x="619"/>
        <item x="592"/>
        <item x="347"/>
        <item x="544"/>
        <item x="599"/>
        <item x="448"/>
        <item x="343"/>
        <item x="110"/>
        <item x="583"/>
        <item x="395"/>
        <item x="50"/>
        <item x="158"/>
        <item x="525"/>
        <item x="58"/>
        <item x="266"/>
        <item x="445"/>
        <item x="298"/>
        <item x="85"/>
        <item x="53"/>
        <item x="455"/>
        <item x="605"/>
        <item x="19"/>
        <item x="36"/>
        <item x="167"/>
        <item x="422"/>
        <item x="76"/>
        <item x="568"/>
        <item x="108"/>
        <item x="184"/>
        <item x="282"/>
        <item x="204"/>
        <item x="84"/>
        <item x="31"/>
        <item x="271"/>
        <item x="344"/>
        <item x="502"/>
        <item x="411"/>
        <item x="559"/>
        <item x="116"/>
        <item x="151"/>
        <item x="297"/>
        <item x="581"/>
        <item x="18"/>
        <item x="597"/>
        <item x="412"/>
        <item x="270"/>
        <item x="44"/>
        <item x="562"/>
        <item x="162"/>
        <item x="41"/>
        <item x="46"/>
        <item x="285"/>
        <item x="111"/>
        <item x="93"/>
        <item x="546"/>
        <item x="364"/>
        <item x="607"/>
        <item x="398"/>
        <item x="609"/>
        <item x="471"/>
        <item x="336"/>
        <item x="143"/>
        <item x="194"/>
        <item x="224"/>
        <item x="604"/>
        <item x="188"/>
        <item x="596"/>
        <item x="379"/>
        <item x="494"/>
        <item x="435"/>
        <item x="269"/>
        <item x="601"/>
        <item x="172"/>
        <item x="22"/>
        <item x="394"/>
        <item x="296"/>
        <item x="440"/>
        <item x="505"/>
        <item x="265"/>
        <item x="203"/>
        <item x="381"/>
        <item x="113"/>
        <item x="555"/>
        <item x="532"/>
        <item x="77"/>
        <item x="341"/>
        <item x="38"/>
        <item x="428"/>
        <item x="2"/>
        <item x="329"/>
        <item x="34"/>
        <item x="424"/>
        <item x="447"/>
        <item x="316"/>
        <item x="241"/>
        <item x="399"/>
        <item x="618"/>
        <item x="509"/>
        <item x="542"/>
        <item x="337"/>
        <item x="561"/>
        <item x="1"/>
        <item x="145"/>
        <item x="392"/>
        <item x="452"/>
        <item x="320"/>
        <item x="161"/>
        <item x="357"/>
        <item x="294"/>
        <item x="331"/>
        <item x="359"/>
        <item x="389"/>
        <item x="96"/>
        <item x="213"/>
        <item x="439"/>
        <item x="576"/>
        <item x="503"/>
        <item x="409"/>
        <item x="174"/>
        <item x="208"/>
        <item x="160"/>
        <item x="483"/>
        <item x="201"/>
        <item x="219"/>
        <item x="459"/>
        <item x="358"/>
        <item x="263"/>
        <item x="557"/>
        <item x="332"/>
        <item x="369"/>
        <item x="153"/>
        <item x="244"/>
        <item x="193"/>
        <item x="195"/>
        <item x="319"/>
        <item x="612"/>
        <item x="474"/>
        <item x="456"/>
        <item x="104"/>
        <item x="134"/>
        <item x="437"/>
        <item x="27"/>
        <item x="14"/>
        <item x="243"/>
        <item x="574"/>
        <item x="142"/>
        <item x="570"/>
        <item x="522"/>
        <item x="305"/>
        <item x="109"/>
        <item x="434"/>
        <item x="322"/>
        <item x="95"/>
        <item x="489"/>
        <item x="621"/>
        <item x="60"/>
        <item x="283"/>
        <item x="382"/>
        <item x="506"/>
        <item x="552"/>
        <item x="112"/>
        <item x="273"/>
        <item x="102"/>
        <item x="386"/>
        <item x="268"/>
        <item x="196"/>
        <item x="512"/>
        <item x="73"/>
        <item x="281"/>
        <item x="187"/>
        <item x="308"/>
        <item x="307"/>
        <item x="346"/>
        <item x="255"/>
        <item x="342"/>
        <item x="223"/>
        <item x="325"/>
        <item x="500"/>
        <item x="501"/>
        <item x="258"/>
        <item x="438"/>
        <item x="125"/>
        <item x="584"/>
        <item x="94"/>
        <item x="260"/>
        <item x="17"/>
        <item x="293"/>
        <item x="495"/>
        <item x="374"/>
        <item x="326"/>
        <item x="26"/>
        <item x="408"/>
        <item x="429"/>
        <item x="249"/>
        <item x="254"/>
        <item x="8"/>
        <item x="12"/>
        <item x="119"/>
        <item x="28"/>
        <item x="441"/>
        <item x="580"/>
        <item x="49"/>
        <item x="43"/>
        <item x="267"/>
        <item x="32"/>
        <item x="279"/>
        <item x="516"/>
        <item x="173"/>
        <item x="606"/>
        <item x="168"/>
        <item x="423"/>
        <item x="538"/>
        <item x="124"/>
        <item x="155"/>
        <item x="237"/>
        <item x="402"/>
        <item x="66"/>
        <item x="404"/>
        <item x="426"/>
        <item x="321"/>
        <item x="513"/>
        <item x="355"/>
        <item x="554"/>
        <item x="365"/>
        <item x="517"/>
        <item x="301"/>
        <item x="317"/>
        <item x="311"/>
        <item x="377"/>
        <item x="98"/>
        <item x="211"/>
        <item x="61"/>
        <item x="368"/>
        <item x="140"/>
        <item x="82"/>
        <item x="334"/>
        <item x="600"/>
        <item x="121"/>
        <item x="16"/>
        <item x="48"/>
        <item x="245"/>
        <item x="225"/>
        <item x="186"/>
        <item x="304"/>
        <item x="556"/>
        <item x="246"/>
        <item x="100"/>
        <item x="299"/>
        <item x="496"/>
        <item x="484"/>
        <item x="566"/>
        <item x="469"/>
        <item x="372"/>
        <item x="91"/>
        <item x="485"/>
        <item x="442"/>
        <item x="499"/>
        <item x="528"/>
        <item x="582"/>
        <item x="148"/>
        <item x="487"/>
        <item x="462"/>
        <item x="139"/>
        <item x="222"/>
        <item x="89"/>
        <item x="59"/>
        <item x="64"/>
        <item x="622"/>
        <item x="446"/>
        <item x="472"/>
        <item x="276"/>
        <item x="356"/>
        <item x="569"/>
        <item x="354"/>
        <item x="328"/>
        <item x="127"/>
        <item x="534"/>
        <item x="610"/>
        <item x="480"/>
        <item x="229"/>
        <item x="461"/>
        <item x="264"/>
        <item x="202"/>
        <item x="97"/>
        <item x="42"/>
        <item x="101"/>
        <item x="163"/>
        <item x="114"/>
        <item x="318"/>
        <item x="338"/>
        <item x="233"/>
        <item x="470"/>
        <item x="481"/>
        <item x="55"/>
        <item x="289"/>
        <item x="460"/>
        <item x="575"/>
        <item x="353"/>
        <item x="166"/>
        <item x="613"/>
        <item x="122"/>
        <item x="586"/>
        <item x="508"/>
        <item x="519"/>
        <item x="349"/>
        <item x="348"/>
        <item x="488"/>
        <item x="274"/>
        <item x="130"/>
        <item x="81"/>
        <item x="533"/>
        <item x="465"/>
        <item x="147"/>
        <item x="466"/>
        <item x="78"/>
        <item x="339"/>
        <item x="214"/>
        <item x="79"/>
        <item x="286"/>
        <item x="467"/>
        <item x="345"/>
        <item x="418"/>
        <item x="9"/>
        <item x="333"/>
        <item x="567"/>
        <item x="415"/>
        <item x="527"/>
        <item x="295"/>
        <item x="479"/>
        <item x="616"/>
        <item x="262"/>
        <item x="181"/>
        <item x="450"/>
        <item x="545"/>
        <item x="475"/>
        <item x="579"/>
        <item x="414"/>
        <item x="617"/>
        <item x="206"/>
        <item x="312"/>
        <item x="564"/>
        <item x="190"/>
        <item x="165"/>
        <item x="197"/>
        <item x="287"/>
        <item x="56"/>
        <item x="551"/>
        <item x="436"/>
        <item x="602"/>
        <item x="205"/>
        <item x="259"/>
        <item x="476"/>
        <item x="159"/>
        <item x="141"/>
        <item x="589"/>
        <item x="126"/>
        <item x="272"/>
        <item x="0"/>
        <item x="491"/>
        <item x="520"/>
        <item x="473"/>
        <item x="451"/>
        <item x="226"/>
        <item x="62"/>
        <item x="388"/>
        <item x="543"/>
        <item x="421"/>
        <item x="182"/>
        <item x="614"/>
        <item x="577"/>
        <item x="572"/>
        <item x="521"/>
        <item x="453"/>
        <item x="170"/>
        <item x="558"/>
        <item x="413"/>
        <item x="430"/>
        <item x="492"/>
        <item x="563"/>
        <item x="507"/>
        <item x="327"/>
        <item x="384"/>
        <item x="324"/>
        <item x="171"/>
        <item x="573"/>
        <item x="303"/>
        <item x="90"/>
        <item x="88"/>
        <item x="216"/>
        <item x="590"/>
        <item x="290"/>
        <item x="69"/>
        <item x="80"/>
        <item x="313"/>
        <item x="149"/>
        <item x="292"/>
        <item x="373"/>
        <item x="457"/>
        <item x="371"/>
        <item x="523"/>
        <item x="231"/>
        <item x="378"/>
        <item x="230"/>
        <item x="416"/>
        <item x="52"/>
        <item x="21"/>
        <item x="137"/>
        <item x="234"/>
        <item x="383"/>
        <item x="15"/>
        <item x="191"/>
        <item x="251"/>
        <item x="218"/>
        <item x="400"/>
        <item x="176"/>
        <item x="183"/>
        <item x="363"/>
        <item x="221"/>
        <item x="71"/>
        <item x="490"/>
        <item x="242"/>
        <item x="207"/>
        <item x="236"/>
        <item x="410"/>
        <item x="275"/>
        <item x="123"/>
        <item x="13"/>
        <item x="536"/>
        <item x="541"/>
        <item x="352"/>
        <item x="478"/>
        <item x="10"/>
        <item x="370"/>
        <item x="598"/>
        <item x="360"/>
        <item x="403"/>
        <item x="367"/>
        <item x="220"/>
        <item x="67"/>
        <item x="177"/>
        <item x="86"/>
        <item x="407"/>
        <item x="107"/>
        <item x="235"/>
        <item x="74"/>
        <item x="323"/>
        <item x="200"/>
        <item x="180"/>
        <item x="215"/>
        <item x="366"/>
        <item x="549"/>
        <item x="611"/>
        <item x="420"/>
        <item x="314"/>
        <item x="401"/>
        <item x="514"/>
        <item x="238"/>
        <item x="587"/>
        <item x="144"/>
        <item x="417"/>
        <item x="464"/>
        <item x="280"/>
        <item x="340"/>
        <item x="531"/>
        <item x="185"/>
        <item x="608"/>
        <item x="530"/>
        <item x="239"/>
        <item x="548"/>
        <item x="432"/>
        <item x="179"/>
        <item x="45"/>
        <item x="232"/>
        <item x="510"/>
        <item x="315"/>
        <item x="498"/>
        <item x="164"/>
        <item x="40"/>
        <item x="330"/>
        <item x="335"/>
        <item x="306"/>
        <item x="497"/>
        <item x="248"/>
        <item x="444"/>
        <item x="591"/>
        <item x="75"/>
        <item x="136"/>
        <item x="250"/>
        <item x="72"/>
        <item x="217"/>
        <item x="560"/>
        <item x="443"/>
        <item x="33"/>
        <item x="11"/>
        <item x="7"/>
        <item x="175"/>
        <item x="526"/>
        <item x="3"/>
        <item x="463"/>
        <item x="105"/>
        <item x="493"/>
        <item x="511"/>
        <item x="310"/>
        <item x="405"/>
        <item x="362"/>
        <item x="150"/>
        <item x="178"/>
        <item t="default"/>
      </items>
    </pivotField>
    <pivotField showAll="0"/>
    <pivotField showAll="0"/>
    <pivotField axis="axisRow" showAll="0" measureFilter="1">
      <items count="23">
        <item x="1"/>
        <item x="0"/>
        <item x="11"/>
        <item x="18"/>
        <item x="7"/>
        <item x="3"/>
        <item x="2"/>
        <item x="15"/>
        <item x="5"/>
        <item x="21"/>
        <item x="10"/>
        <item x="12"/>
        <item x="16"/>
        <item x="13"/>
        <item x="6"/>
        <item x="14"/>
        <item x="4"/>
        <item x="8"/>
        <item x="9"/>
        <item x="17"/>
        <item x="20"/>
        <item x="19"/>
        <item t="default"/>
      </items>
    </pivotField>
    <pivotField showAll="0"/>
    <pivotField showAll="0">
      <items count="7">
        <item x="5"/>
        <item x="4"/>
        <item x="3"/>
        <item x="2"/>
        <item x="1"/>
        <item x="0"/>
        <item t="default"/>
      </items>
    </pivotField>
    <pivotField showAll="0">
      <items count="5">
        <item x="3"/>
        <item x="1"/>
        <item x="2"/>
        <item x="0"/>
        <item t="default"/>
      </items>
    </pivotField>
  </pivotFields>
  <rowFields count="1">
    <field x="3"/>
  </rowFields>
  <rowItems count="2">
    <i>
      <x/>
    </i>
    <i t="grand">
      <x/>
    </i>
  </rowItems>
  <colItems count="1">
    <i/>
  </colItems>
  <dataFields count="1">
    <dataField name="Count of Anime Title" fld="0" subtotal="count" baseField="0" baseItem="0"/>
  </dataFields>
  <pivotTableStyleInfo name="PivotStyleLight16" showRowHeaders="1" showColHeaders="1" showRowStripes="0" showColStripes="0" showLastColumn="1"/>
  <filters count="1">
    <filter fld="3" type="count" evalOrder="-1" id="4"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FE5B2AF-80B5-4561-A004-3975CBD472B9}" autoFormatId="16" applyNumberFormats="0" applyBorderFormats="0" applyFontFormats="0" applyPatternFormats="0" applyAlignmentFormats="0" applyWidthHeightFormats="0">
  <queryTableRefresh nextId="8">
    <queryTableFields count="7">
      <queryTableField id="1" name="Anime Title" tableColumnId="1"/>
      <queryTableField id="2" name="Popularity/Members" tableColumnId="2"/>
      <queryTableField id="3" name="Rating/Score" tableColumnId="3"/>
      <queryTableField id="4" name="Genres" tableColumnId="4"/>
      <queryTableField id="5" name="Studios" tableColumnId="5"/>
      <queryTableField id="6" name="Year" tableColumnId="6"/>
      <queryTableField id="7" name="Season"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6" xr16:uid="{26465237-0BD1-4D03-B6CC-A3F30DC108C1}" autoFormatId="16" applyNumberFormats="0" applyBorderFormats="0" applyFontFormats="0" applyPatternFormats="0" applyAlignmentFormats="0" applyWidthHeightFormats="0">
  <queryTableRefresh nextId="9">
    <queryTableFields count="8">
      <queryTableField id="1" name="Anime Title" tableColumnId="1"/>
      <queryTableField id="2" name="Genre" tableColumnId="2"/>
      <queryTableField id="3" name="Platform" tableColumnId="3"/>
      <queryTableField id="4" name="Date.3.1" tableColumnId="4"/>
      <queryTableField id="5" name="Viewer Rating (/ 10)" tableColumnId="5"/>
      <queryTableField id="6" name="Monthly Viewership (M)" tableColumnId="6"/>
      <queryTableField id="7" name="Region" tableColumnId="7"/>
      <queryTableField id="8" name="Popularity Rank"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741B6458-E872-42FC-B9EA-59619D1F930B}" autoFormatId="16" applyNumberFormats="0" applyBorderFormats="0" applyFontFormats="0" applyPatternFormats="0" applyAlignmentFormats="0" applyWidthHeightFormats="0">
  <queryTableRefresh nextId="8">
    <queryTableFields count="7">
      <queryTableField id="1" name="Anime Title" tableColumnId="1"/>
      <queryTableField id="2" name="Popularity/Members" tableColumnId="2"/>
      <queryTableField id="3" name="Rating/Score" tableColumnId="3"/>
      <queryTableField id="4" name="Genres" tableColumnId="4"/>
      <queryTableField id="5" name="Studios" tableColumnId="5"/>
      <queryTableField id="6" name="Year" tableColumnId="6"/>
      <queryTableField id="7" name="Season"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491BB1A-ACE7-49EC-98B9-8A2834ACF4DE}" sourceName="Year">
  <pivotTables>
    <pivotTable tabId="7" name="PivotTable1"/>
    <pivotTable tabId="7" name="PivotTable2"/>
    <pivotTable tabId="7" name="PivotTable3"/>
    <pivotTable tabId="7" name="PivotTable4"/>
    <pivotTable tabId="7" name="PivotTable5"/>
    <pivotTable tabId="7" name="PivotTable6"/>
    <pivotTable tabId="7" name="PivotTable7"/>
    <pivotTable tabId="7" name="PivotTable10"/>
    <pivotTable tabId="7" name="PivotTable18"/>
  </pivotTables>
  <data>
    <tabular pivotCacheId="45065357">
      <items count="6">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A4281AB6-EF3E-4995-A997-40FD7B7BA4E2}" sourceName="Season">
  <pivotTables>
    <pivotTable tabId="7" name="PivotTable1"/>
    <pivotTable tabId="7" name="PivotTable2"/>
    <pivotTable tabId="7" name="PivotTable3"/>
    <pivotTable tabId="7" name="PivotTable4"/>
    <pivotTable tabId="7" name="PivotTable5"/>
    <pivotTable tabId="7" name="PivotTable6"/>
    <pivotTable tabId="7" name="PivotTable7"/>
  </pivotTables>
  <data>
    <tabular pivotCacheId="45065357">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3.11" xr10:uid="{D34F0E84-9901-49E5-B18E-30189091025E}" sourceName="Date.3.1">
  <pivotTables>
    <pivotTable tabId="10" name="PivotTable9"/>
    <pivotTable tabId="10" name="PivotTable8"/>
    <pivotTable tabId="10" name="PivotTable7"/>
    <pivotTable tabId="10" name="PivotTable6"/>
    <pivotTable tabId="10" name="PivotTable5"/>
    <pivotTable tabId="10" name="PivotTable4"/>
    <pivotTable tabId="10" name="PivotTable3"/>
    <pivotTable tabId="10" name="PivotTable2"/>
    <pivotTable tabId="10" name="PivotTable10"/>
    <pivotTable tabId="10" name="PivotTable1"/>
  </pivotTables>
  <data>
    <tabular pivotCacheId="1696827474">
      <items count="6">
        <i x="4" s="1"/>
        <i x="5" s="1"/>
        <i x="0" s="1"/>
        <i x="3"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3.1" xr10:uid="{34E88720-BAA5-428F-96E1-E52C27BE015D}" sourceName="Date.3.1">
  <pivotTables>
    <pivotTable tabId="11" name="PivotTable2"/>
    <pivotTable tabId="11" name="PivotTable1"/>
    <pivotTable tabId="11" name="PivotTable10"/>
    <pivotTable tabId="11" name="PivotTable3"/>
    <pivotTable tabId="11" name="PivotTable4"/>
    <pivotTable tabId="11" name="PivotTable5"/>
    <pivotTable tabId="11" name="PivotTable6"/>
    <pivotTable tabId="11" name="PivotTable7"/>
    <pivotTable tabId="11" name="PivotTable8"/>
    <pivotTable tabId="11" name="PivotTable9"/>
  </pivotTables>
  <data>
    <tabular pivotCacheId="29940286">
      <items count="6">
        <i x="4" s="1"/>
        <i x="5" s="1"/>
        <i x="0" s="1"/>
        <i x="3"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90C7C62-8FFE-40E2-B6B7-892600297CA0}" sourceName="Region">
  <pivotTables>
    <pivotTable tabId="11" name="PivotTable1"/>
    <pivotTable tabId="11" name="PivotTable2"/>
    <pivotTable tabId="11" name="PivotTable3"/>
    <pivotTable tabId="11" name="PivotTable4"/>
  </pivotTables>
  <data>
    <tabular pivotCacheId="29940286">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3.1" xr10:uid="{2FEE9E8C-2B46-4B4D-A6B9-2EE834838796}" cache="Slicer_Date.3.11" caption="Yea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3.1 1" xr10:uid="{197364A5-9FE6-413B-B7FB-62EE0B039655}" cache="Slicer_Date.3.1" caption="Year" style="SlicerStyleLight5" rowHeight="247650"/>
  <slicer name="Region" xr10:uid="{0A5FC9E7-4EB2-4BF6-AE02-A0C53B9BB3F5}" cache="Slicer_Region" caption="Region"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61918C7-578A-461E-AFE1-585DE691A376}" cache="Slicer_Year" caption="Year" style="SlicerStyleLight5" rowHeight="257175"/>
  <slicer name="Season" xr10:uid="{56851796-F390-458D-AEF8-9F4EEC35536F}" cache="Slicer_Season" caption="Season" style="SlicerStyleLight5"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DC09551-B94E-4E94-9CD7-2229D9BE6925}" cache="Slicer_Year" caption="Year" style="SlicerStyleLight4" rowHeight="257175"/>
  <slicer name="Season 1" xr10:uid="{A55D3059-80D8-4C90-8B73-910989BB9EFD}" cache="Slicer_Season" caption="Season" style="SlicerStyleLight5"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3.1 2" xr10:uid="{C7258518-BFBA-4AE8-9B2C-85354D907C1E}" cache="Slicer_Date.3.1" caption="Year" style="SlicerStyleLight5" rowHeight="247650"/>
  <slicer name="Region 1" xr10:uid="{FE87F8C5-E4FC-4640-9492-69DB0F80B69B}" cache="Slicer_Region" caption="Region" style="SlicerStyleLight4"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3ACF10-CFB9-4F41-B802-8EF714ABB2AE}" name="Sheet1" displayName="Sheet1" ref="A1:G624" tableType="queryTable" totalsRowShown="0">
  <autoFilter ref="A1:G624" xr:uid="{543ACF10-CFB9-4F41-B802-8EF714ABB2AE}"/>
  <tableColumns count="7">
    <tableColumn id="1" xr3:uid="{B379C285-7726-4D31-95DF-A2E8D2FD3BDB}" uniqueName="1" name="Anime Title" queryTableFieldId="1" dataDxfId="9"/>
    <tableColumn id="2" xr3:uid="{B6AB705A-8900-430D-B573-B37D423FADB5}" uniqueName="2" name="Popularity/Members" queryTableFieldId="2"/>
    <tableColumn id="3" xr3:uid="{D76DC9C5-5037-4CCA-BC9C-35E212D875CE}" uniqueName="3" name="Rating/Score" queryTableFieldId="3"/>
    <tableColumn id="4" xr3:uid="{B729DBE9-13F9-4C09-9917-5C5D6D054677}" uniqueName="4" name="Genres" queryTableFieldId="4" dataDxfId="8"/>
    <tableColumn id="5" xr3:uid="{42C392B6-E179-41F4-99AB-ED55BB1DB960}" uniqueName="5" name="Studios" queryTableFieldId="5" dataDxfId="7"/>
    <tableColumn id="6" xr3:uid="{07A32738-3C0F-4251-96FB-4746D4F7AD9C}" uniqueName="6" name="Year" queryTableFieldId="6"/>
    <tableColumn id="7" xr3:uid="{EB2F7967-D260-4978-B6C1-A5DBDCDFDDC7}" uniqueName="7" name="Season" queryTableFieldId="7" dataDxf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EA58D8-B91E-451F-8A7C-D06356D3AD04}" name="Table1_3" displayName="Table1_3" ref="A1:H442" tableType="queryTable" totalsRowShown="0">
  <autoFilter ref="A1:H442" xr:uid="{A6C14BE8-E30E-4E5C-85D2-B4530C762B50}"/>
  <tableColumns count="8">
    <tableColumn id="1" xr3:uid="{3969AD0C-1FA7-462C-A5C9-DB85E5CF2335}" uniqueName="1" name="Anime Title" queryTableFieldId="1"/>
    <tableColumn id="2" xr3:uid="{8CA6376C-8205-4F8B-B557-846791634914}" uniqueName="2" name="Genre" queryTableFieldId="2"/>
    <tableColumn id="3" xr3:uid="{E815EA75-6CB4-430A-B537-6A8E269D3968}" uniqueName="3" name="Platform" queryTableFieldId="3"/>
    <tableColumn id="4" xr3:uid="{C04FDD6A-8119-4BCE-99E4-2751C886B7F7}" uniqueName="4" name="Date.3.1" queryTableFieldId="4"/>
    <tableColumn id="5" xr3:uid="{28E13380-BC09-4445-8D19-04FA8030F591}" uniqueName="5" name="Viewer Rating (/ 10)" queryTableFieldId="5"/>
    <tableColumn id="6" xr3:uid="{D698962A-9364-499D-B9BD-4440F813163C}" uniqueName="6" name="Monthly Viewership (M)" queryTableFieldId="6"/>
    <tableColumn id="7" xr3:uid="{67490B6C-09E7-4EAE-8C21-2AE5DB8D45A4}" uniqueName="7" name="Region" queryTableFieldId="7"/>
    <tableColumn id="8" xr3:uid="{B27E9173-BAFE-4980-873E-76E882180331}" uniqueName="8" name="Popularity Rank" queryTableFieldId="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09B3C73-EFD1-4AFD-9458-D999DD1556F5}" name="Sheet1__4" displayName="Sheet1__4" ref="A1:G624" tableType="queryTable" totalsRowShown="0">
  <autoFilter ref="A1:G624" xr:uid="{709B3C73-EFD1-4AFD-9458-D999DD1556F5}"/>
  <tableColumns count="7">
    <tableColumn id="1" xr3:uid="{752A7E7D-F9ED-41CC-97A8-207510462791}" uniqueName="1" name="Anime Title" queryTableFieldId="1" dataDxfId="3"/>
    <tableColumn id="2" xr3:uid="{B9CD792F-E342-4CF3-A5BB-FB598514EBE2}" uniqueName="2" name="Popularity/Members" queryTableFieldId="2"/>
    <tableColumn id="3" xr3:uid="{3811885E-EE63-4E98-84B6-64F09AAE9951}" uniqueName="3" name="Rating/Score" queryTableFieldId="3"/>
    <tableColumn id="4" xr3:uid="{DB04761B-5589-4F41-9990-D153CAB2A8AD}" uniqueName="4" name="Genres" queryTableFieldId="4" dataDxfId="2"/>
    <tableColumn id="5" xr3:uid="{48D51C21-2D04-424A-B1F2-AAC0D046B179}" uniqueName="5" name="Studios" queryTableFieldId="5" dataDxfId="1"/>
    <tableColumn id="6" xr3:uid="{C75B2BC6-5307-4E4F-B5EB-066B62808C82}" uniqueName="6" name="Year" queryTableFieldId="6"/>
    <tableColumn id="7" xr3:uid="{DFCFB390-82F9-467D-A142-7C007C7CC093}" uniqueName="7" name="Season"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12" Type="http://schemas.microsoft.com/office/2007/relationships/slicer" Target="../slicers/slicer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drawing" Target="../drawings/drawing2.xml"/><Relationship Id="rId5" Type="http://schemas.openxmlformats.org/officeDocument/2006/relationships/pivotTable" Target="../pivotTables/pivotTable9.xml"/><Relationship Id="rId10" Type="http://schemas.openxmlformats.org/officeDocument/2006/relationships/pivotTable" Target="../pivotTables/pivotTable14.xml"/><Relationship Id="rId4" Type="http://schemas.openxmlformats.org/officeDocument/2006/relationships/pivotTable" Target="../pivotTables/pivotTable8.xml"/><Relationship Id="rId9" Type="http://schemas.openxmlformats.org/officeDocument/2006/relationships/pivotTable" Target="../pivotTables/pivotTable1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22.xml"/><Relationship Id="rId3" Type="http://schemas.openxmlformats.org/officeDocument/2006/relationships/pivotTable" Target="../pivotTables/pivotTable17.xml"/><Relationship Id="rId7" Type="http://schemas.openxmlformats.org/officeDocument/2006/relationships/pivotTable" Target="../pivotTables/pivotTable21.xml"/><Relationship Id="rId12" Type="http://schemas.microsoft.com/office/2007/relationships/slicer" Target="../slicers/slicer2.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pivotTable" Target="../pivotTables/pivotTable20.xml"/><Relationship Id="rId11" Type="http://schemas.openxmlformats.org/officeDocument/2006/relationships/drawing" Target="../drawings/drawing3.xml"/><Relationship Id="rId5" Type="http://schemas.openxmlformats.org/officeDocument/2006/relationships/pivotTable" Target="../pivotTables/pivotTable19.xml"/><Relationship Id="rId10" Type="http://schemas.openxmlformats.org/officeDocument/2006/relationships/pivotTable" Target="../pivotTables/pivotTable24.xml"/><Relationship Id="rId4" Type="http://schemas.openxmlformats.org/officeDocument/2006/relationships/pivotTable" Target="../pivotTables/pivotTable18.xml"/><Relationship Id="rId9" Type="http://schemas.openxmlformats.org/officeDocument/2006/relationships/pivotTable" Target="../pivotTables/pivotTable2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32.xml"/><Relationship Id="rId3" Type="http://schemas.openxmlformats.org/officeDocument/2006/relationships/pivotTable" Target="../pivotTables/pivotTable27.xml"/><Relationship Id="rId7" Type="http://schemas.openxmlformats.org/officeDocument/2006/relationships/pivotTable" Target="../pivotTables/pivotTable31.xml"/><Relationship Id="rId2" Type="http://schemas.openxmlformats.org/officeDocument/2006/relationships/pivotTable" Target="../pivotTables/pivotTable26.xml"/><Relationship Id="rId1" Type="http://schemas.openxmlformats.org/officeDocument/2006/relationships/pivotTable" Target="../pivotTables/pivotTable25.xml"/><Relationship Id="rId6" Type="http://schemas.openxmlformats.org/officeDocument/2006/relationships/pivotTable" Target="../pivotTables/pivotTable30.xml"/><Relationship Id="rId11" Type="http://schemas.microsoft.com/office/2007/relationships/slicer" Target="../slicers/slicer3.xml"/><Relationship Id="rId5" Type="http://schemas.openxmlformats.org/officeDocument/2006/relationships/pivotTable" Target="../pivotTables/pivotTable29.xml"/><Relationship Id="rId10" Type="http://schemas.openxmlformats.org/officeDocument/2006/relationships/drawing" Target="../drawings/drawing4.xml"/><Relationship Id="rId4" Type="http://schemas.openxmlformats.org/officeDocument/2006/relationships/pivotTable" Target="../pivotTables/pivotTable28.xml"/><Relationship Id="rId9" Type="http://schemas.openxmlformats.org/officeDocument/2006/relationships/pivotTable" Target="../pivotTables/pivotTable3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D5123-5497-44A4-9E57-3F9555D19A8F}">
  <dimension ref="A1:G624"/>
  <sheetViews>
    <sheetView workbookViewId="0">
      <selection activeCell="A583" sqref="A583"/>
    </sheetView>
  </sheetViews>
  <sheetFormatPr defaultRowHeight="14.4"/>
  <cols>
    <col min="1" max="1" width="113.6640625" bestFit="1" customWidth="1"/>
    <col min="2" max="2" width="21.88671875" bestFit="1" customWidth="1"/>
    <col min="3" max="3" width="14.88671875" bestFit="1" customWidth="1"/>
    <col min="4" max="4" width="56.33203125" bestFit="1" customWidth="1"/>
    <col min="5" max="5" width="67" bestFit="1" customWidth="1"/>
  </cols>
  <sheetData>
    <row r="1" spans="1:7">
      <c r="A1" t="s">
        <v>0</v>
      </c>
      <c r="B1" t="s">
        <v>1</v>
      </c>
      <c r="C1" t="s">
        <v>2</v>
      </c>
      <c r="D1" t="s">
        <v>3</v>
      </c>
      <c r="E1" t="s">
        <v>4</v>
      </c>
      <c r="F1" t="s">
        <v>5</v>
      </c>
      <c r="G1" t="s">
        <v>6</v>
      </c>
    </row>
    <row r="2" spans="1:7">
      <c r="A2" t="s">
        <v>7</v>
      </c>
      <c r="B2">
        <v>482000</v>
      </c>
      <c r="C2">
        <v>8.9600000000000009</v>
      </c>
      <c r="D2" t="s">
        <v>8</v>
      </c>
      <c r="E2" t="s">
        <v>9</v>
      </c>
      <c r="F2">
        <v>2026</v>
      </c>
      <c r="G2" t="s">
        <v>10</v>
      </c>
    </row>
    <row r="3" spans="1:7">
      <c r="A3" t="s">
        <v>11</v>
      </c>
      <c r="B3">
        <v>441000</v>
      </c>
      <c r="C3">
        <v>8.67</v>
      </c>
      <c r="D3" t="s">
        <v>12</v>
      </c>
      <c r="E3" t="s">
        <v>13</v>
      </c>
      <c r="F3">
        <v>2026</v>
      </c>
      <c r="G3" t="s">
        <v>10</v>
      </c>
    </row>
    <row r="4" spans="1:7">
      <c r="A4" t="s">
        <v>14</v>
      </c>
      <c r="B4">
        <v>344000</v>
      </c>
      <c r="C4">
        <v>8.2100000000000009</v>
      </c>
      <c r="D4" t="s">
        <v>15</v>
      </c>
      <c r="E4" t="s">
        <v>13</v>
      </c>
      <c r="F4">
        <v>2026</v>
      </c>
      <c r="G4" t="s">
        <v>10</v>
      </c>
    </row>
    <row r="5" spans="1:7">
      <c r="A5" t="s">
        <v>16</v>
      </c>
      <c r="B5">
        <v>275000</v>
      </c>
      <c r="C5">
        <v>8.19</v>
      </c>
      <c r="D5" t="s">
        <v>17</v>
      </c>
      <c r="E5" t="s">
        <v>18</v>
      </c>
      <c r="F5">
        <v>2026</v>
      </c>
      <c r="G5" t="s">
        <v>10</v>
      </c>
    </row>
    <row r="6" spans="1:7">
      <c r="A6" t="s">
        <v>19</v>
      </c>
      <c r="B6">
        <v>243000</v>
      </c>
      <c r="C6">
        <v>8.73</v>
      </c>
      <c r="D6" t="s">
        <v>20</v>
      </c>
      <c r="E6" t="s">
        <v>21</v>
      </c>
      <c r="F6">
        <v>2026</v>
      </c>
      <c r="G6" t="s">
        <v>10</v>
      </c>
    </row>
    <row r="7" spans="1:7">
      <c r="A7" t="s">
        <v>22</v>
      </c>
      <c r="B7">
        <v>171000</v>
      </c>
      <c r="C7">
        <v>8.14</v>
      </c>
      <c r="D7" t="s">
        <v>23</v>
      </c>
      <c r="E7" t="s">
        <v>24</v>
      </c>
      <c r="F7">
        <v>2026</v>
      </c>
      <c r="G7" t="s">
        <v>10</v>
      </c>
    </row>
    <row r="8" spans="1:7">
      <c r="A8" t="s">
        <v>25</v>
      </c>
      <c r="B8">
        <v>157000</v>
      </c>
      <c r="C8">
        <v>8.39</v>
      </c>
      <c r="D8" t="s">
        <v>26</v>
      </c>
      <c r="E8" t="s">
        <v>27</v>
      </c>
      <c r="F8">
        <v>2026</v>
      </c>
      <c r="G8" t="s">
        <v>10</v>
      </c>
    </row>
    <row r="9" spans="1:7">
      <c r="A9" t="s">
        <v>28</v>
      </c>
      <c r="B9">
        <v>114000</v>
      </c>
      <c r="C9">
        <v>6.65</v>
      </c>
      <c r="D9" t="s">
        <v>17</v>
      </c>
      <c r="E9" t="s">
        <v>29</v>
      </c>
      <c r="F9">
        <v>2026</v>
      </c>
      <c r="G9" t="s">
        <v>10</v>
      </c>
    </row>
    <row r="10" spans="1:7">
      <c r="A10" t="s">
        <v>30</v>
      </c>
      <c r="B10">
        <v>94000</v>
      </c>
      <c r="C10">
        <v>7.44</v>
      </c>
      <c r="D10" t="s">
        <v>31</v>
      </c>
      <c r="E10" t="s">
        <v>32</v>
      </c>
      <c r="F10">
        <v>2026</v>
      </c>
      <c r="G10" t="s">
        <v>10</v>
      </c>
    </row>
    <row r="11" spans="1:7">
      <c r="A11" t="s">
        <v>33</v>
      </c>
      <c r="B11">
        <v>93000</v>
      </c>
      <c r="C11">
        <v>7.2</v>
      </c>
      <c r="D11" t="s">
        <v>34</v>
      </c>
      <c r="E11" t="s">
        <v>35</v>
      </c>
      <c r="F11">
        <v>2026</v>
      </c>
      <c r="G11" t="s">
        <v>10</v>
      </c>
    </row>
    <row r="12" spans="1:7">
      <c r="A12" t="s">
        <v>36</v>
      </c>
      <c r="B12">
        <v>84000</v>
      </c>
      <c r="C12">
        <v>7.38</v>
      </c>
      <c r="D12" t="s">
        <v>37</v>
      </c>
      <c r="E12" t="s">
        <v>38</v>
      </c>
      <c r="F12">
        <v>2026</v>
      </c>
      <c r="G12" t="s">
        <v>10</v>
      </c>
    </row>
    <row r="13" spans="1:7">
      <c r="A13" t="s">
        <v>39</v>
      </c>
      <c r="B13">
        <v>80000</v>
      </c>
      <c r="C13">
        <v>6.23</v>
      </c>
      <c r="D13" t="s">
        <v>40</v>
      </c>
      <c r="E13" t="s">
        <v>41</v>
      </c>
      <c r="F13">
        <v>2026</v>
      </c>
      <c r="G13" t="s">
        <v>10</v>
      </c>
    </row>
    <row r="14" spans="1:7">
      <c r="A14" t="s">
        <v>42</v>
      </c>
      <c r="B14">
        <v>74000</v>
      </c>
      <c r="C14">
        <v>7.27</v>
      </c>
      <c r="D14" t="s">
        <v>43</v>
      </c>
      <c r="E14" t="s">
        <v>41</v>
      </c>
      <c r="F14">
        <v>2026</v>
      </c>
      <c r="G14" t="s">
        <v>10</v>
      </c>
    </row>
    <row r="15" spans="1:7">
      <c r="A15" t="s">
        <v>44</v>
      </c>
      <c r="B15">
        <v>73000</v>
      </c>
      <c r="C15">
        <v>7.49</v>
      </c>
      <c r="D15" t="s">
        <v>45</v>
      </c>
      <c r="E15" t="s">
        <v>46</v>
      </c>
      <c r="F15">
        <v>2026</v>
      </c>
      <c r="G15" t="s">
        <v>10</v>
      </c>
    </row>
    <row r="16" spans="1:7">
      <c r="A16" t="s">
        <v>47</v>
      </c>
      <c r="B16">
        <v>71000</v>
      </c>
      <c r="C16">
        <v>6.66</v>
      </c>
      <c r="D16" t="s">
        <v>48</v>
      </c>
      <c r="E16" t="s">
        <v>49</v>
      </c>
      <c r="F16">
        <v>2026</v>
      </c>
      <c r="G16" t="s">
        <v>10</v>
      </c>
    </row>
    <row r="17" spans="1:7">
      <c r="A17" t="s">
        <v>50</v>
      </c>
      <c r="B17">
        <v>70000</v>
      </c>
      <c r="C17">
        <v>6.79</v>
      </c>
      <c r="D17" t="s">
        <v>51</v>
      </c>
      <c r="E17" t="s">
        <v>52</v>
      </c>
      <c r="F17">
        <v>2026</v>
      </c>
      <c r="G17" t="s">
        <v>10</v>
      </c>
    </row>
    <row r="18" spans="1:7">
      <c r="A18" t="s">
        <v>53</v>
      </c>
      <c r="B18">
        <v>68000</v>
      </c>
      <c r="C18">
        <v>6.79</v>
      </c>
      <c r="D18" t="s">
        <v>54</v>
      </c>
      <c r="E18" t="s">
        <v>55</v>
      </c>
      <c r="F18">
        <v>2026</v>
      </c>
      <c r="G18" t="s">
        <v>10</v>
      </c>
    </row>
    <row r="19" spans="1:7">
      <c r="A19" t="s">
        <v>56</v>
      </c>
      <c r="B19">
        <v>65000</v>
      </c>
      <c r="C19">
        <v>6.57</v>
      </c>
      <c r="D19" t="s">
        <v>57</v>
      </c>
      <c r="E19" t="s">
        <v>58</v>
      </c>
      <c r="F19">
        <v>2026</v>
      </c>
      <c r="G19" t="s">
        <v>10</v>
      </c>
    </row>
    <row r="20" spans="1:7">
      <c r="A20" t="s">
        <v>59</v>
      </c>
      <c r="B20">
        <v>63000</v>
      </c>
      <c r="C20">
        <v>7.19</v>
      </c>
      <c r="D20" t="s">
        <v>60</v>
      </c>
      <c r="E20" t="s">
        <v>61</v>
      </c>
      <c r="F20">
        <v>2026</v>
      </c>
      <c r="G20" t="s">
        <v>10</v>
      </c>
    </row>
    <row r="21" spans="1:7">
      <c r="A21" t="s">
        <v>62</v>
      </c>
      <c r="B21">
        <v>55000</v>
      </c>
      <c r="C21">
        <v>8.41</v>
      </c>
      <c r="D21" t="s">
        <v>63</v>
      </c>
      <c r="E21" t="s">
        <v>64</v>
      </c>
      <c r="F21">
        <v>2026</v>
      </c>
      <c r="G21" t="s">
        <v>10</v>
      </c>
    </row>
    <row r="22" spans="1:7">
      <c r="A22" t="s">
        <v>65</v>
      </c>
      <c r="B22">
        <v>48000</v>
      </c>
      <c r="C22">
        <v>7.1</v>
      </c>
      <c r="D22" t="s">
        <v>66</v>
      </c>
      <c r="E22" t="s">
        <v>67</v>
      </c>
      <c r="F22">
        <v>2026</v>
      </c>
      <c r="G22" t="s">
        <v>10</v>
      </c>
    </row>
    <row r="23" spans="1:7">
      <c r="A23" t="s">
        <v>68</v>
      </c>
      <c r="B23">
        <v>47000</v>
      </c>
      <c r="C23">
        <v>7.62</v>
      </c>
      <c r="D23" t="s">
        <v>69</v>
      </c>
      <c r="E23" t="s">
        <v>70</v>
      </c>
      <c r="F23">
        <v>2026</v>
      </c>
      <c r="G23" t="s">
        <v>10</v>
      </c>
    </row>
    <row r="24" spans="1:7">
      <c r="A24" t="s">
        <v>71</v>
      </c>
      <c r="B24">
        <v>45000</v>
      </c>
      <c r="C24">
        <v>7.18</v>
      </c>
      <c r="D24" t="s">
        <v>72</v>
      </c>
      <c r="E24" t="s">
        <v>35</v>
      </c>
      <c r="F24">
        <v>2026</v>
      </c>
      <c r="G24" t="s">
        <v>10</v>
      </c>
    </row>
    <row r="25" spans="1:7">
      <c r="A25" t="s">
        <v>73</v>
      </c>
      <c r="B25">
        <v>44000</v>
      </c>
      <c r="C25">
        <v>6.18</v>
      </c>
      <c r="D25" t="s">
        <v>74</v>
      </c>
      <c r="E25" t="s">
        <v>75</v>
      </c>
      <c r="F25">
        <v>2026</v>
      </c>
      <c r="G25" t="s">
        <v>10</v>
      </c>
    </row>
    <row r="26" spans="1:7">
      <c r="A26" t="s">
        <v>76</v>
      </c>
      <c r="B26">
        <v>42000</v>
      </c>
      <c r="C26">
        <v>6.06</v>
      </c>
      <c r="D26" t="s">
        <v>77</v>
      </c>
      <c r="E26" t="s">
        <v>35</v>
      </c>
      <c r="F26">
        <v>2026</v>
      </c>
      <c r="G26" t="s">
        <v>10</v>
      </c>
    </row>
    <row r="27" spans="1:7">
      <c r="A27" t="s">
        <v>78</v>
      </c>
      <c r="B27">
        <v>41000</v>
      </c>
      <c r="C27">
        <v>7.03</v>
      </c>
      <c r="D27" t="s">
        <v>79</v>
      </c>
      <c r="E27" t="s">
        <v>80</v>
      </c>
      <c r="F27">
        <v>2026</v>
      </c>
      <c r="G27" t="s">
        <v>10</v>
      </c>
    </row>
    <row r="28" spans="1:7">
      <c r="A28" t="s">
        <v>81</v>
      </c>
      <c r="B28">
        <v>40000</v>
      </c>
      <c r="C28">
        <v>7.36</v>
      </c>
      <c r="D28" t="s">
        <v>82</v>
      </c>
      <c r="E28" t="s">
        <v>83</v>
      </c>
      <c r="F28">
        <v>2026</v>
      </c>
      <c r="G28" t="s">
        <v>10</v>
      </c>
    </row>
    <row r="29" spans="1:7">
      <c r="A29" t="s">
        <v>84</v>
      </c>
      <c r="B29">
        <v>39000</v>
      </c>
      <c r="C29">
        <v>6.92</v>
      </c>
      <c r="D29" t="s">
        <v>85</v>
      </c>
      <c r="E29" t="s">
        <v>86</v>
      </c>
      <c r="F29">
        <v>2026</v>
      </c>
      <c r="G29" t="s">
        <v>10</v>
      </c>
    </row>
    <row r="30" spans="1:7">
      <c r="A30" t="s">
        <v>87</v>
      </c>
      <c r="B30">
        <v>38000</v>
      </c>
      <c r="C30">
        <v>8.4700000000000006</v>
      </c>
      <c r="D30" t="s">
        <v>88</v>
      </c>
      <c r="E30" t="s">
        <v>89</v>
      </c>
      <c r="F30">
        <v>2026</v>
      </c>
      <c r="G30" t="s">
        <v>10</v>
      </c>
    </row>
    <row r="31" spans="1:7">
      <c r="A31" t="s">
        <v>90</v>
      </c>
      <c r="B31">
        <v>37000</v>
      </c>
      <c r="C31">
        <v>6.58</v>
      </c>
      <c r="D31" t="s">
        <v>91</v>
      </c>
      <c r="E31" t="s">
        <v>92</v>
      </c>
      <c r="F31">
        <v>2026</v>
      </c>
      <c r="G31" t="s">
        <v>10</v>
      </c>
    </row>
    <row r="32" spans="1:7">
      <c r="A32" t="s">
        <v>93</v>
      </c>
      <c r="B32">
        <v>34000</v>
      </c>
      <c r="C32">
        <v>6.8</v>
      </c>
      <c r="D32" t="s">
        <v>94</v>
      </c>
      <c r="E32" t="s">
        <v>95</v>
      </c>
      <c r="F32">
        <v>2026</v>
      </c>
      <c r="G32" t="s">
        <v>10</v>
      </c>
    </row>
    <row r="33" spans="1:7">
      <c r="A33" t="s">
        <v>96</v>
      </c>
      <c r="B33">
        <v>33000</v>
      </c>
      <c r="C33">
        <v>6.96</v>
      </c>
      <c r="D33" t="s">
        <v>97</v>
      </c>
      <c r="E33" t="s">
        <v>98</v>
      </c>
      <c r="F33">
        <v>2026</v>
      </c>
      <c r="G33" t="s">
        <v>10</v>
      </c>
    </row>
    <row r="34" spans="1:7">
      <c r="A34" t="s">
        <v>99</v>
      </c>
      <c r="B34">
        <v>30000</v>
      </c>
      <c r="C34">
        <v>7.81</v>
      </c>
      <c r="D34" t="s">
        <v>100</v>
      </c>
      <c r="E34" t="s">
        <v>101</v>
      </c>
      <c r="F34">
        <v>2026</v>
      </c>
      <c r="G34" t="s">
        <v>10</v>
      </c>
    </row>
    <row r="35" spans="1:7">
      <c r="A35" t="s">
        <v>102</v>
      </c>
      <c r="B35">
        <v>25000</v>
      </c>
      <c r="C35">
        <v>6.59</v>
      </c>
      <c r="D35" t="s">
        <v>103</v>
      </c>
      <c r="E35" t="s">
        <v>104</v>
      </c>
      <c r="F35">
        <v>2026</v>
      </c>
      <c r="G35" t="s">
        <v>10</v>
      </c>
    </row>
    <row r="36" spans="1:7">
      <c r="A36" t="s">
        <v>105</v>
      </c>
      <c r="B36">
        <v>24000</v>
      </c>
      <c r="C36">
        <v>6.52</v>
      </c>
      <c r="D36" t="s">
        <v>106</v>
      </c>
      <c r="E36" t="s">
        <v>107</v>
      </c>
      <c r="F36">
        <v>2026</v>
      </c>
      <c r="G36" t="s">
        <v>10</v>
      </c>
    </row>
    <row r="37" spans="1:7">
      <c r="A37" t="s">
        <v>108</v>
      </c>
      <c r="B37">
        <v>22000</v>
      </c>
      <c r="C37">
        <v>6.27</v>
      </c>
      <c r="D37" t="s">
        <v>109</v>
      </c>
      <c r="E37" t="s">
        <v>110</v>
      </c>
      <c r="F37">
        <v>2026</v>
      </c>
      <c r="G37" t="s">
        <v>10</v>
      </c>
    </row>
    <row r="38" spans="1:7">
      <c r="A38" t="s">
        <v>111</v>
      </c>
      <c r="B38">
        <v>20000</v>
      </c>
      <c r="C38">
        <v>6.76</v>
      </c>
      <c r="D38" t="s">
        <v>112</v>
      </c>
      <c r="E38" t="s">
        <v>113</v>
      </c>
      <c r="F38">
        <v>2026</v>
      </c>
      <c r="G38" t="s">
        <v>10</v>
      </c>
    </row>
    <row r="39" spans="1:7">
      <c r="A39" t="s">
        <v>114</v>
      </c>
      <c r="B39">
        <v>13000</v>
      </c>
      <c r="C39">
        <v>6.21</v>
      </c>
      <c r="D39" t="s">
        <v>115</v>
      </c>
      <c r="E39" t="s">
        <v>116</v>
      </c>
      <c r="F39">
        <v>2026</v>
      </c>
      <c r="G39" t="s">
        <v>10</v>
      </c>
    </row>
    <row r="40" spans="1:7">
      <c r="A40" t="s">
        <v>117</v>
      </c>
      <c r="B40">
        <v>9000</v>
      </c>
      <c r="C40">
        <v>7.1</v>
      </c>
      <c r="D40" t="s">
        <v>118</v>
      </c>
      <c r="E40" t="s">
        <v>18</v>
      </c>
      <c r="F40">
        <v>2026</v>
      </c>
      <c r="G40" t="s">
        <v>10</v>
      </c>
    </row>
    <row r="41" spans="1:7">
      <c r="A41" t="s">
        <v>119</v>
      </c>
      <c r="B41">
        <v>8900</v>
      </c>
      <c r="C41">
        <v>7.2</v>
      </c>
      <c r="D41" t="s">
        <v>120</v>
      </c>
      <c r="E41" t="s">
        <v>121</v>
      </c>
      <c r="F41">
        <v>2026</v>
      </c>
      <c r="G41" t="s">
        <v>10</v>
      </c>
    </row>
    <row r="42" spans="1:7">
      <c r="A42" t="s">
        <v>122</v>
      </c>
      <c r="B42">
        <v>7200</v>
      </c>
      <c r="C42">
        <v>6.27</v>
      </c>
      <c r="D42" t="s">
        <v>123</v>
      </c>
      <c r="E42" t="s">
        <v>124</v>
      </c>
      <c r="F42">
        <v>2026</v>
      </c>
      <c r="G42" t="s">
        <v>10</v>
      </c>
    </row>
    <row r="43" spans="1:7">
      <c r="A43" t="s">
        <v>125</v>
      </c>
      <c r="B43">
        <v>7100</v>
      </c>
      <c r="C43">
        <v>4.67</v>
      </c>
      <c r="D43" t="s">
        <v>126</v>
      </c>
      <c r="E43" t="s">
        <v>127</v>
      </c>
      <c r="F43">
        <v>2026</v>
      </c>
      <c r="G43" t="s">
        <v>10</v>
      </c>
    </row>
    <row r="44" spans="1:7">
      <c r="A44" t="s">
        <v>128</v>
      </c>
      <c r="B44">
        <v>6300</v>
      </c>
      <c r="C44">
        <v>5.68</v>
      </c>
      <c r="D44" t="s">
        <v>129</v>
      </c>
      <c r="E44" t="s">
        <v>130</v>
      </c>
      <c r="F44">
        <v>2026</v>
      </c>
      <c r="G44" t="s">
        <v>10</v>
      </c>
    </row>
    <row r="45" spans="1:7">
      <c r="A45" t="s">
        <v>131</v>
      </c>
      <c r="B45">
        <v>4600</v>
      </c>
      <c r="C45">
        <v>7.55</v>
      </c>
      <c r="D45" t="s">
        <v>132</v>
      </c>
      <c r="E45" t="s">
        <v>133</v>
      </c>
      <c r="F45">
        <v>2026</v>
      </c>
      <c r="G45" t="s">
        <v>10</v>
      </c>
    </row>
    <row r="46" spans="1:7">
      <c r="A46" t="s">
        <v>134</v>
      </c>
      <c r="B46">
        <v>4100</v>
      </c>
      <c r="C46">
        <v>5.7</v>
      </c>
      <c r="D46" t="s">
        <v>135</v>
      </c>
      <c r="E46" t="s">
        <v>136</v>
      </c>
      <c r="F46">
        <v>2026</v>
      </c>
      <c r="G46" t="s">
        <v>10</v>
      </c>
    </row>
    <row r="47" spans="1:7">
      <c r="A47" t="s">
        <v>137</v>
      </c>
      <c r="B47">
        <v>2600</v>
      </c>
      <c r="C47">
        <v>5.76</v>
      </c>
      <c r="D47" t="s">
        <v>138</v>
      </c>
      <c r="E47" t="s">
        <v>139</v>
      </c>
      <c r="F47">
        <v>2026</v>
      </c>
      <c r="G47" t="s">
        <v>10</v>
      </c>
    </row>
    <row r="48" spans="1:7">
      <c r="A48" t="s">
        <v>140</v>
      </c>
      <c r="B48">
        <v>2100</v>
      </c>
      <c r="C48">
        <v>5.63</v>
      </c>
      <c r="D48" t="s">
        <v>141</v>
      </c>
      <c r="E48" t="s">
        <v>142</v>
      </c>
      <c r="F48">
        <v>2026</v>
      </c>
      <c r="G48" t="s">
        <v>10</v>
      </c>
    </row>
    <row r="49" spans="1:7">
      <c r="A49" t="s">
        <v>143</v>
      </c>
      <c r="B49">
        <v>1600</v>
      </c>
      <c r="C49">
        <v>6.31</v>
      </c>
      <c r="D49" t="s">
        <v>144</v>
      </c>
      <c r="E49" t="s">
        <v>145</v>
      </c>
      <c r="F49">
        <v>2026</v>
      </c>
      <c r="G49" t="s">
        <v>10</v>
      </c>
    </row>
    <row r="50" spans="1:7">
      <c r="A50" t="s">
        <v>146</v>
      </c>
      <c r="B50">
        <v>2700000</v>
      </c>
      <c r="C50">
        <v>8.73</v>
      </c>
      <c r="D50" t="s">
        <v>147</v>
      </c>
      <c r="E50" t="s">
        <v>133</v>
      </c>
      <c r="F50">
        <v>2026</v>
      </c>
      <c r="G50" t="s">
        <v>10</v>
      </c>
    </row>
    <row r="51" spans="1:7">
      <c r="A51" t="s">
        <v>148</v>
      </c>
      <c r="B51">
        <v>377000</v>
      </c>
      <c r="C51">
        <v>8.18</v>
      </c>
      <c r="D51" t="s">
        <v>149</v>
      </c>
      <c r="E51" t="s">
        <v>150</v>
      </c>
      <c r="F51">
        <v>2026</v>
      </c>
      <c r="G51" t="s">
        <v>10</v>
      </c>
    </row>
    <row r="52" spans="1:7">
      <c r="A52" t="s">
        <v>151</v>
      </c>
      <c r="B52">
        <v>148000</v>
      </c>
      <c r="C52">
        <v>7.47</v>
      </c>
      <c r="D52" t="s">
        <v>152</v>
      </c>
      <c r="E52" t="s">
        <v>153</v>
      </c>
      <c r="F52">
        <v>2026</v>
      </c>
      <c r="G52" t="s">
        <v>10</v>
      </c>
    </row>
    <row r="53" spans="1:7">
      <c r="A53" t="s">
        <v>154</v>
      </c>
      <c r="B53">
        <v>81000</v>
      </c>
      <c r="C53">
        <v>7.43</v>
      </c>
      <c r="D53" t="s">
        <v>155</v>
      </c>
      <c r="E53" t="s">
        <v>156</v>
      </c>
      <c r="F53">
        <v>2026</v>
      </c>
      <c r="G53" t="s">
        <v>10</v>
      </c>
    </row>
    <row r="54" spans="1:7">
      <c r="A54" t="s">
        <v>157</v>
      </c>
      <c r="B54">
        <v>60000</v>
      </c>
      <c r="C54">
        <v>7.82</v>
      </c>
      <c r="D54" t="s">
        <v>158</v>
      </c>
      <c r="E54" t="s">
        <v>159</v>
      </c>
      <c r="F54">
        <v>2026</v>
      </c>
      <c r="G54" t="s">
        <v>10</v>
      </c>
    </row>
    <row r="55" spans="1:7">
      <c r="A55" t="s">
        <v>160</v>
      </c>
      <c r="B55">
        <v>49000</v>
      </c>
      <c r="C55">
        <v>7.87</v>
      </c>
      <c r="D55" t="s">
        <v>161</v>
      </c>
      <c r="E55" t="s">
        <v>162</v>
      </c>
      <c r="F55">
        <v>2026</v>
      </c>
      <c r="G55" t="s">
        <v>10</v>
      </c>
    </row>
    <row r="56" spans="1:7">
      <c r="A56" t="s">
        <v>163</v>
      </c>
      <c r="B56">
        <v>17000</v>
      </c>
      <c r="C56">
        <v>7.52</v>
      </c>
      <c r="D56" t="s">
        <v>164</v>
      </c>
      <c r="E56" t="s">
        <v>165</v>
      </c>
      <c r="F56">
        <v>2026</v>
      </c>
      <c r="G56" t="s">
        <v>10</v>
      </c>
    </row>
    <row r="57" spans="1:7">
      <c r="A57" t="s">
        <v>166</v>
      </c>
      <c r="B57">
        <v>10000</v>
      </c>
      <c r="C57">
        <v>6.16</v>
      </c>
      <c r="D57" t="s">
        <v>167</v>
      </c>
      <c r="E57" t="s">
        <v>168</v>
      </c>
      <c r="F57">
        <v>2026</v>
      </c>
      <c r="G57" t="s">
        <v>10</v>
      </c>
    </row>
    <row r="58" spans="1:7">
      <c r="A58" t="s">
        <v>169</v>
      </c>
      <c r="B58">
        <v>9300</v>
      </c>
      <c r="C58">
        <v>6.38</v>
      </c>
      <c r="D58" t="s">
        <v>170</v>
      </c>
      <c r="E58" t="s">
        <v>171</v>
      </c>
      <c r="F58">
        <v>2026</v>
      </c>
      <c r="G58" t="s">
        <v>10</v>
      </c>
    </row>
    <row r="59" spans="1:7">
      <c r="A59" t="s">
        <v>172</v>
      </c>
      <c r="B59">
        <v>8800</v>
      </c>
      <c r="C59">
        <v>7.46</v>
      </c>
      <c r="D59" t="s">
        <v>173</v>
      </c>
      <c r="E59" t="s">
        <v>165</v>
      </c>
      <c r="F59">
        <v>2026</v>
      </c>
      <c r="G59" t="s">
        <v>10</v>
      </c>
    </row>
    <row r="60" spans="1:7">
      <c r="A60" t="s">
        <v>174</v>
      </c>
      <c r="B60">
        <v>8500</v>
      </c>
      <c r="C60">
        <v>6.42</v>
      </c>
      <c r="D60" t="s">
        <v>175</v>
      </c>
      <c r="E60" t="s">
        <v>176</v>
      </c>
      <c r="F60">
        <v>2026</v>
      </c>
      <c r="G60" t="s">
        <v>10</v>
      </c>
    </row>
    <row r="61" spans="1:7">
      <c r="A61" t="s">
        <v>177</v>
      </c>
      <c r="B61">
        <v>7500</v>
      </c>
      <c r="C61">
        <v>7.31</v>
      </c>
      <c r="D61" t="s">
        <v>178</v>
      </c>
      <c r="E61" t="s">
        <v>110</v>
      </c>
      <c r="F61">
        <v>2026</v>
      </c>
      <c r="G61" t="s">
        <v>10</v>
      </c>
    </row>
    <row r="62" spans="1:7">
      <c r="A62" t="s">
        <v>179</v>
      </c>
      <c r="B62">
        <v>6500</v>
      </c>
      <c r="C62">
        <v>7.52</v>
      </c>
      <c r="D62" t="s">
        <v>180</v>
      </c>
      <c r="E62" t="s">
        <v>181</v>
      </c>
      <c r="F62">
        <v>2026</v>
      </c>
      <c r="G62" t="s">
        <v>10</v>
      </c>
    </row>
    <row r="63" spans="1:7">
      <c r="A63" t="s">
        <v>182</v>
      </c>
      <c r="B63">
        <v>3900</v>
      </c>
      <c r="C63">
        <v>5.59</v>
      </c>
      <c r="D63" t="s">
        <v>183</v>
      </c>
      <c r="E63" t="s">
        <v>104</v>
      </c>
      <c r="F63">
        <v>2026</v>
      </c>
      <c r="G63" t="s">
        <v>10</v>
      </c>
    </row>
    <row r="64" spans="1:7">
      <c r="A64" t="s">
        <v>184</v>
      </c>
      <c r="B64">
        <v>182000</v>
      </c>
      <c r="C64">
        <v>9.18</v>
      </c>
      <c r="D64" t="s">
        <v>185</v>
      </c>
      <c r="E64" t="s">
        <v>24</v>
      </c>
      <c r="F64">
        <v>2026</v>
      </c>
      <c r="G64" t="s">
        <v>10</v>
      </c>
    </row>
    <row r="65" spans="1:7">
      <c r="A65" t="s">
        <v>186</v>
      </c>
      <c r="B65">
        <v>79000</v>
      </c>
      <c r="C65">
        <v>8.5</v>
      </c>
      <c r="D65" t="s">
        <v>187</v>
      </c>
      <c r="E65" t="s">
        <v>188</v>
      </c>
      <c r="F65">
        <v>2026</v>
      </c>
      <c r="G65" t="s">
        <v>10</v>
      </c>
    </row>
    <row r="66" spans="1:7">
      <c r="A66" t="s">
        <v>189</v>
      </c>
      <c r="B66">
        <v>50000</v>
      </c>
      <c r="C66">
        <v>8.52</v>
      </c>
      <c r="D66" t="s">
        <v>190</v>
      </c>
      <c r="E66" t="s">
        <v>191</v>
      </c>
      <c r="F66">
        <v>2026</v>
      </c>
      <c r="G66" t="s">
        <v>10</v>
      </c>
    </row>
    <row r="67" spans="1:7">
      <c r="A67" t="s">
        <v>192</v>
      </c>
      <c r="B67">
        <v>28000</v>
      </c>
      <c r="C67">
        <v>7.51</v>
      </c>
      <c r="D67" t="s">
        <v>193</v>
      </c>
      <c r="E67" t="s">
        <v>150</v>
      </c>
      <c r="F67">
        <v>2026</v>
      </c>
      <c r="G67" t="s">
        <v>10</v>
      </c>
    </row>
    <row r="68" spans="1:7">
      <c r="A68" t="s">
        <v>194</v>
      </c>
      <c r="B68">
        <v>15000</v>
      </c>
      <c r="C68">
        <v>8.2899999999999991</v>
      </c>
      <c r="D68" t="s">
        <v>60</v>
      </c>
      <c r="E68" t="s">
        <v>195</v>
      </c>
      <c r="F68">
        <v>2026</v>
      </c>
      <c r="G68" t="s">
        <v>10</v>
      </c>
    </row>
    <row r="69" spans="1:7">
      <c r="A69" t="s">
        <v>196</v>
      </c>
      <c r="B69">
        <v>14000</v>
      </c>
      <c r="C69">
        <v>7.84</v>
      </c>
      <c r="D69" t="s">
        <v>197</v>
      </c>
      <c r="E69" t="s">
        <v>198</v>
      </c>
      <c r="F69">
        <v>2026</v>
      </c>
      <c r="G69" t="s">
        <v>10</v>
      </c>
    </row>
    <row r="70" spans="1:7">
      <c r="A70" t="s">
        <v>199</v>
      </c>
      <c r="B70">
        <v>12000</v>
      </c>
      <c r="C70">
        <v>8.39</v>
      </c>
      <c r="D70" t="s">
        <v>197</v>
      </c>
      <c r="E70" t="s">
        <v>200</v>
      </c>
      <c r="F70">
        <v>2026</v>
      </c>
      <c r="G70" t="s">
        <v>10</v>
      </c>
    </row>
    <row r="71" spans="1:7">
      <c r="A71" t="s">
        <v>201</v>
      </c>
      <c r="B71">
        <v>11000</v>
      </c>
      <c r="C71">
        <v>8.49</v>
      </c>
      <c r="D71" t="s">
        <v>202</v>
      </c>
      <c r="E71" t="s">
        <v>203</v>
      </c>
      <c r="F71">
        <v>2026</v>
      </c>
      <c r="G71" t="s">
        <v>10</v>
      </c>
    </row>
    <row r="72" spans="1:7">
      <c r="A72" t="s">
        <v>204</v>
      </c>
      <c r="B72">
        <v>6900</v>
      </c>
      <c r="C72">
        <v>8.06</v>
      </c>
      <c r="D72" t="s">
        <v>205</v>
      </c>
      <c r="E72" t="s">
        <v>195</v>
      </c>
      <c r="F72">
        <v>2026</v>
      </c>
      <c r="G72" t="s">
        <v>10</v>
      </c>
    </row>
    <row r="73" spans="1:7">
      <c r="A73" t="s">
        <v>206</v>
      </c>
      <c r="B73">
        <v>5900</v>
      </c>
      <c r="C73">
        <v>8.36</v>
      </c>
      <c r="D73" t="s">
        <v>207</v>
      </c>
      <c r="E73" t="s">
        <v>195</v>
      </c>
      <c r="F73">
        <v>2026</v>
      </c>
      <c r="G73" t="s">
        <v>10</v>
      </c>
    </row>
    <row r="74" spans="1:7">
      <c r="A74" t="s">
        <v>208</v>
      </c>
      <c r="B74">
        <v>5000</v>
      </c>
      <c r="C74">
        <v>6.38</v>
      </c>
      <c r="D74" t="s">
        <v>209</v>
      </c>
      <c r="E74" t="s">
        <v>210</v>
      </c>
      <c r="F74">
        <v>2026</v>
      </c>
      <c r="G74" t="s">
        <v>10</v>
      </c>
    </row>
    <row r="75" spans="1:7">
      <c r="A75" t="s">
        <v>211</v>
      </c>
      <c r="B75">
        <v>3800</v>
      </c>
      <c r="C75">
        <v>7.4</v>
      </c>
      <c r="D75" t="s">
        <v>197</v>
      </c>
      <c r="E75" t="s">
        <v>212</v>
      </c>
      <c r="F75">
        <v>2026</v>
      </c>
      <c r="G75" t="s">
        <v>10</v>
      </c>
    </row>
    <row r="76" spans="1:7">
      <c r="A76" t="s">
        <v>213</v>
      </c>
      <c r="B76">
        <v>3400</v>
      </c>
      <c r="C76">
        <v>6.9</v>
      </c>
      <c r="D76" t="s">
        <v>214</v>
      </c>
      <c r="E76" t="s">
        <v>215</v>
      </c>
      <c r="F76">
        <v>2026</v>
      </c>
      <c r="G76" t="s">
        <v>10</v>
      </c>
    </row>
    <row r="77" spans="1:7">
      <c r="A77" t="s">
        <v>216</v>
      </c>
      <c r="B77">
        <v>1700</v>
      </c>
      <c r="C77">
        <v>6.91</v>
      </c>
      <c r="D77" t="s">
        <v>217</v>
      </c>
      <c r="E77" t="s">
        <v>218</v>
      </c>
      <c r="F77">
        <v>2026</v>
      </c>
      <c r="G77" t="s">
        <v>10</v>
      </c>
    </row>
    <row r="78" spans="1:7">
      <c r="A78" t="s">
        <v>219</v>
      </c>
      <c r="B78">
        <v>1200</v>
      </c>
      <c r="C78">
        <v>7.94</v>
      </c>
      <c r="D78" t="s">
        <v>60</v>
      </c>
      <c r="E78" t="s">
        <v>220</v>
      </c>
      <c r="F78">
        <v>2026</v>
      </c>
      <c r="G78" t="s">
        <v>10</v>
      </c>
    </row>
    <row r="79" spans="1:7">
      <c r="A79" t="s">
        <v>221</v>
      </c>
      <c r="B79">
        <v>945</v>
      </c>
      <c r="C79">
        <v>7.42</v>
      </c>
      <c r="D79" t="s">
        <v>197</v>
      </c>
      <c r="E79" t="s">
        <v>222</v>
      </c>
      <c r="F79">
        <v>2026</v>
      </c>
      <c r="G79" t="s">
        <v>10</v>
      </c>
    </row>
    <row r="80" spans="1:7">
      <c r="A80" t="s">
        <v>223</v>
      </c>
      <c r="B80">
        <v>915</v>
      </c>
      <c r="C80">
        <v>7.35</v>
      </c>
      <c r="D80" t="s">
        <v>60</v>
      </c>
      <c r="E80" t="s">
        <v>224</v>
      </c>
      <c r="F80">
        <v>2026</v>
      </c>
      <c r="G80" t="s">
        <v>10</v>
      </c>
    </row>
    <row r="81" spans="1:7">
      <c r="A81" t="s">
        <v>225</v>
      </c>
      <c r="B81">
        <v>755</v>
      </c>
      <c r="C81">
        <v>6.9</v>
      </c>
      <c r="D81" t="s">
        <v>209</v>
      </c>
      <c r="E81" t="s">
        <v>200</v>
      </c>
      <c r="F81">
        <v>2026</v>
      </c>
      <c r="G81" t="s">
        <v>10</v>
      </c>
    </row>
    <row r="82" spans="1:7">
      <c r="A82" t="s">
        <v>226</v>
      </c>
      <c r="B82">
        <v>654</v>
      </c>
      <c r="C82">
        <v>6.88</v>
      </c>
      <c r="D82" t="s">
        <v>197</v>
      </c>
      <c r="E82" t="s">
        <v>227</v>
      </c>
      <c r="F82">
        <v>2026</v>
      </c>
      <c r="G82" t="s">
        <v>10</v>
      </c>
    </row>
    <row r="83" spans="1:7">
      <c r="A83" t="s">
        <v>228</v>
      </c>
      <c r="B83">
        <v>651</v>
      </c>
      <c r="C83">
        <v>6.96</v>
      </c>
      <c r="D83" t="s">
        <v>197</v>
      </c>
      <c r="E83" t="s">
        <v>229</v>
      </c>
      <c r="F83">
        <v>2026</v>
      </c>
      <c r="G83" t="s">
        <v>10</v>
      </c>
    </row>
    <row r="84" spans="1:7">
      <c r="A84" t="s">
        <v>230</v>
      </c>
      <c r="B84">
        <v>348</v>
      </c>
      <c r="C84">
        <v>6.32</v>
      </c>
      <c r="D84" t="s">
        <v>231</v>
      </c>
      <c r="E84" t="s">
        <v>232</v>
      </c>
      <c r="F84">
        <v>2026</v>
      </c>
      <c r="G84" t="s">
        <v>10</v>
      </c>
    </row>
    <row r="85" spans="1:7">
      <c r="A85" t="s">
        <v>233</v>
      </c>
      <c r="B85">
        <v>16000</v>
      </c>
      <c r="C85">
        <v>6.91</v>
      </c>
      <c r="D85" t="s">
        <v>234</v>
      </c>
      <c r="E85" t="s">
        <v>235</v>
      </c>
      <c r="F85">
        <v>2026</v>
      </c>
      <c r="G85" t="s">
        <v>10</v>
      </c>
    </row>
    <row r="86" spans="1:7">
      <c r="A86" t="s">
        <v>236</v>
      </c>
      <c r="B86">
        <v>9100</v>
      </c>
      <c r="C86">
        <v>6.69</v>
      </c>
      <c r="D86" t="s">
        <v>237</v>
      </c>
      <c r="E86" t="s">
        <v>238</v>
      </c>
      <c r="F86">
        <v>2026</v>
      </c>
      <c r="G86" t="s">
        <v>10</v>
      </c>
    </row>
    <row r="87" spans="1:7">
      <c r="A87" t="s">
        <v>239</v>
      </c>
      <c r="B87">
        <v>2700</v>
      </c>
      <c r="C87">
        <v>7.08</v>
      </c>
      <c r="D87" t="s">
        <v>240</v>
      </c>
      <c r="E87" t="s">
        <v>241</v>
      </c>
      <c r="F87">
        <v>2026</v>
      </c>
      <c r="G87" t="s">
        <v>10</v>
      </c>
    </row>
    <row r="88" spans="1:7">
      <c r="A88" t="s">
        <v>242</v>
      </c>
      <c r="B88">
        <v>31000</v>
      </c>
      <c r="C88">
        <v>8.07</v>
      </c>
      <c r="D88" t="s">
        <v>243</v>
      </c>
      <c r="E88" t="s">
        <v>244</v>
      </c>
      <c r="F88">
        <v>2026</v>
      </c>
      <c r="G88" t="s">
        <v>10</v>
      </c>
    </row>
    <row r="89" spans="1:7">
      <c r="A89" t="s">
        <v>245</v>
      </c>
      <c r="B89">
        <v>5700</v>
      </c>
      <c r="C89">
        <v>7.75</v>
      </c>
      <c r="D89" t="s">
        <v>246</v>
      </c>
      <c r="E89" t="s">
        <v>247</v>
      </c>
      <c r="F89">
        <v>2026</v>
      </c>
      <c r="G89" t="s">
        <v>10</v>
      </c>
    </row>
    <row r="90" spans="1:7">
      <c r="A90" t="s">
        <v>248</v>
      </c>
      <c r="B90">
        <v>2400</v>
      </c>
      <c r="C90">
        <v>6.85</v>
      </c>
      <c r="D90" t="s">
        <v>249</v>
      </c>
      <c r="E90" t="s">
        <v>250</v>
      </c>
      <c r="F90">
        <v>2026</v>
      </c>
      <c r="G90" t="s">
        <v>10</v>
      </c>
    </row>
    <row r="91" spans="1:7">
      <c r="A91" t="s">
        <v>251</v>
      </c>
      <c r="B91">
        <v>1400</v>
      </c>
      <c r="C91">
        <v>6.5</v>
      </c>
      <c r="D91" t="s">
        <v>252</v>
      </c>
      <c r="E91" t="s">
        <v>253</v>
      </c>
      <c r="F91">
        <v>2026</v>
      </c>
      <c r="G91" t="s">
        <v>10</v>
      </c>
    </row>
    <row r="92" spans="1:7">
      <c r="A92" t="s">
        <v>254</v>
      </c>
      <c r="B92">
        <v>146000</v>
      </c>
      <c r="C92">
        <v>8.23</v>
      </c>
      <c r="D92" t="s">
        <v>255</v>
      </c>
      <c r="E92" t="s">
        <v>256</v>
      </c>
      <c r="F92">
        <v>2026</v>
      </c>
      <c r="G92" t="s">
        <v>257</v>
      </c>
    </row>
    <row r="93" spans="1:7">
      <c r="A93" t="s">
        <v>258</v>
      </c>
      <c r="B93">
        <v>108000</v>
      </c>
      <c r="C93">
        <v>8.2200000000000006</v>
      </c>
      <c r="D93" t="s">
        <v>259</v>
      </c>
      <c r="E93" t="s">
        <v>70</v>
      </c>
      <c r="F93">
        <v>2026</v>
      </c>
      <c r="G93" t="s">
        <v>257</v>
      </c>
    </row>
    <row r="94" spans="1:7">
      <c r="A94" t="s">
        <v>260</v>
      </c>
      <c r="B94">
        <v>102000</v>
      </c>
      <c r="C94">
        <v>8.32</v>
      </c>
      <c r="D94" t="s">
        <v>261</v>
      </c>
      <c r="E94" t="s">
        <v>150</v>
      </c>
      <c r="F94">
        <v>2026</v>
      </c>
      <c r="G94" t="s">
        <v>257</v>
      </c>
    </row>
    <row r="95" spans="1:7">
      <c r="A95" t="s">
        <v>262</v>
      </c>
      <c r="B95">
        <v>57000</v>
      </c>
      <c r="C95">
        <v>8.06</v>
      </c>
      <c r="D95" t="s">
        <v>263</v>
      </c>
      <c r="E95" t="s">
        <v>191</v>
      </c>
      <c r="F95">
        <v>2026</v>
      </c>
      <c r="G95" t="s">
        <v>257</v>
      </c>
    </row>
    <row r="96" spans="1:7">
      <c r="A96" t="s">
        <v>264</v>
      </c>
      <c r="B96">
        <v>56000</v>
      </c>
      <c r="C96">
        <v>7.99</v>
      </c>
      <c r="D96" t="s">
        <v>265</v>
      </c>
      <c r="E96" t="s">
        <v>266</v>
      </c>
      <c r="F96">
        <v>2026</v>
      </c>
      <c r="G96" t="s">
        <v>257</v>
      </c>
    </row>
    <row r="97" spans="1:7">
      <c r="A97" t="s">
        <v>267</v>
      </c>
      <c r="B97">
        <v>35000</v>
      </c>
      <c r="C97">
        <v>7.63</v>
      </c>
      <c r="D97" t="s">
        <v>268</v>
      </c>
      <c r="E97" t="s">
        <v>18</v>
      </c>
      <c r="F97">
        <v>2026</v>
      </c>
      <c r="G97" t="s">
        <v>257</v>
      </c>
    </row>
    <row r="98" spans="1:7">
      <c r="A98" t="s">
        <v>269</v>
      </c>
      <c r="B98">
        <v>32000</v>
      </c>
      <c r="C98">
        <v>7.29</v>
      </c>
      <c r="D98" t="s">
        <v>270</v>
      </c>
      <c r="E98" t="s">
        <v>18</v>
      </c>
      <c r="F98">
        <v>2026</v>
      </c>
      <c r="G98" t="s">
        <v>257</v>
      </c>
    </row>
    <row r="99" spans="1:7">
      <c r="A99" t="s">
        <v>271</v>
      </c>
      <c r="B99">
        <v>23000</v>
      </c>
      <c r="C99">
        <v>6.43</v>
      </c>
      <c r="D99" t="s">
        <v>272</v>
      </c>
      <c r="E99" t="s">
        <v>273</v>
      </c>
      <c r="F99">
        <v>2026</v>
      </c>
      <c r="G99" t="s">
        <v>257</v>
      </c>
    </row>
    <row r="100" spans="1:7">
      <c r="A100" t="s">
        <v>274</v>
      </c>
      <c r="B100">
        <v>18000</v>
      </c>
      <c r="C100">
        <v>7.13</v>
      </c>
      <c r="D100" t="s">
        <v>275</v>
      </c>
      <c r="E100" t="s">
        <v>276</v>
      </c>
      <c r="F100">
        <v>2026</v>
      </c>
      <c r="G100" t="s">
        <v>257</v>
      </c>
    </row>
    <row r="101" spans="1:7">
      <c r="A101" t="s">
        <v>277</v>
      </c>
      <c r="B101">
        <v>53000</v>
      </c>
      <c r="C101">
        <v>8.34</v>
      </c>
      <c r="D101" t="s">
        <v>278</v>
      </c>
      <c r="E101" t="s">
        <v>13</v>
      </c>
      <c r="F101">
        <v>2026</v>
      </c>
      <c r="G101" t="s">
        <v>257</v>
      </c>
    </row>
    <row r="102" spans="1:7">
      <c r="A102" t="s">
        <v>279</v>
      </c>
      <c r="B102">
        <v>763000</v>
      </c>
      <c r="C102">
        <v>8.5500000000000007</v>
      </c>
      <c r="D102" t="s">
        <v>280</v>
      </c>
      <c r="E102" t="s">
        <v>27</v>
      </c>
      <c r="F102">
        <v>2025</v>
      </c>
      <c r="G102" t="s">
        <v>10</v>
      </c>
    </row>
    <row r="103" spans="1:7">
      <c r="A103" t="s">
        <v>281</v>
      </c>
      <c r="B103">
        <v>495000</v>
      </c>
      <c r="C103">
        <v>7.59</v>
      </c>
      <c r="D103" t="s">
        <v>282</v>
      </c>
      <c r="E103" t="s">
        <v>150</v>
      </c>
      <c r="F103">
        <v>2025</v>
      </c>
      <c r="G103" t="s">
        <v>10</v>
      </c>
    </row>
    <row r="104" spans="1:7">
      <c r="A104" t="s">
        <v>283</v>
      </c>
      <c r="B104">
        <v>487000</v>
      </c>
      <c r="C104">
        <v>8.91</v>
      </c>
      <c r="D104" t="s">
        <v>284</v>
      </c>
      <c r="E104" t="s">
        <v>285</v>
      </c>
      <c r="F104">
        <v>2025</v>
      </c>
      <c r="G104" t="s">
        <v>10</v>
      </c>
    </row>
    <row r="105" spans="1:7">
      <c r="A105" t="s">
        <v>286</v>
      </c>
      <c r="B105">
        <v>299000</v>
      </c>
      <c r="C105">
        <v>8.25</v>
      </c>
      <c r="D105" t="s">
        <v>261</v>
      </c>
      <c r="E105" t="s">
        <v>150</v>
      </c>
      <c r="F105">
        <v>2025</v>
      </c>
      <c r="G105" t="s">
        <v>10</v>
      </c>
    </row>
    <row r="106" spans="1:7">
      <c r="A106" t="s">
        <v>287</v>
      </c>
      <c r="B106">
        <v>173000</v>
      </c>
      <c r="C106">
        <v>7.89</v>
      </c>
      <c r="D106" t="s">
        <v>288</v>
      </c>
      <c r="E106" t="s">
        <v>289</v>
      </c>
      <c r="F106">
        <v>2025</v>
      </c>
      <c r="G106" t="s">
        <v>10</v>
      </c>
    </row>
    <row r="107" spans="1:7">
      <c r="A107" t="s">
        <v>290</v>
      </c>
      <c r="B107">
        <v>169000</v>
      </c>
      <c r="C107">
        <v>7.57</v>
      </c>
      <c r="D107" t="s">
        <v>291</v>
      </c>
      <c r="E107" t="s">
        <v>13</v>
      </c>
      <c r="F107">
        <v>2025</v>
      </c>
      <c r="G107" t="s">
        <v>10</v>
      </c>
    </row>
    <row r="108" spans="1:7">
      <c r="A108" t="s">
        <v>292</v>
      </c>
      <c r="B108">
        <v>163000</v>
      </c>
      <c r="C108">
        <v>6.74</v>
      </c>
      <c r="D108" t="s">
        <v>293</v>
      </c>
      <c r="E108" t="s">
        <v>294</v>
      </c>
      <c r="F108">
        <v>2025</v>
      </c>
      <c r="G108" t="s">
        <v>10</v>
      </c>
    </row>
    <row r="109" spans="1:7">
      <c r="A109" t="s">
        <v>295</v>
      </c>
      <c r="B109">
        <v>151000</v>
      </c>
      <c r="C109">
        <v>7.42</v>
      </c>
      <c r="D109" t="s">
        <v>296</v>
      </c>
      <c r="E109" t="s">
        <v>297</v>
      </c>
      <c r="F109">
        <v>2025</v>
      </c>
      <c r="G109" t="s">
        <v>10</v>
      </c>
    </row>
    <row r="110" spans="1:7">
      <c r="A110" t="s">
        <v>298</v>
      </c>
      <c r="B110">
        <v>147000</v>
      </c>
      <c r="C110">
        <v>6.64</v>
      </c>
      <c r="D110" t="s">
        <v>299</v>
      </c>
      <c r="E110" t="s">
        <v>300</v>
      </c>
      <c r="F110">
        <v>2025</v>
      </c>
      <c r="G110" t="s">
        <v>10</v>
      </c>
    </row>
    <row r="111" spans="1:7">
      <c r="A111" t="s">
        <v>301</v>
      </c>
      <c r="B111">
        <v>135000</v>
      </c>
      <c r="C111">
        <v>7.5</v>
      </c>
      <c r="D111" t="s">
        <v>302</v>
      </c>
      <c r="E111" t="s">
        <v>303</v>
      </c>
      <c r="F111">
        <v>2025</v>
      </c>
      <c r="G111" t="s">
        <v>10</v>
      </c>
    </row>
    <row r="112" spans="1:7">
      <c r="A112" t="s">
        <v>304</v>
      </c>
      <c r="B112">
        <v>130000</v>
      </c>
      <c r="C112">
        <v>6.33</v>
      </c>
      <c r="D112" t="s">
        <v>17</v>
      </c>
      <c r="E112" t="s">
        <v>86</v>
      </c>
      <c r="F112">
        <v>2025</v>
      </c>
      <c r="G112" t="s">
        <v>10</v>
      </c>
    </row>
    <row r="113" spans="1:7">
      <c r="A113" t="s">
        <v>305</v>
      </c>
      <c r="B113">
        <v>129000</v>
      </c>
      <c r="C113">
        <v>7.17</v>
      </c>
      <c r="D113" t="s">
        <v>306</v>
      </c>
      <c r="E113" t="s">
        <v>307</v>
      </c>
      <c r="F113">
        <v>2025</v>
      </c>
      <c r="G113" t="s">
        <v>10</v>
      </c>
    </row>
    <row r="114" spans="1:7">
      <c r="A114" t="s">
        <v>308</v>
      </c>
      <c r="B114">
        <v>125000</v>
      </c>
      <c r="C114">
        <v>6.55</v>
      </c>
      <c r="D114" t="s">
        <v>309</v>
      </c>
      <c r="E114" t="s">
        <v>127</v>
      </c>
      <c r="F114">
        <v>2025</v>
      </c>
      <c r="G114" t="s">
        <v>10</v>
      </c>
    </row>
    <row r="115" spans="1:7">
      <c r="A115" t="s">
        <v>310</v>
      </c>
      <c r="B115">
        <v>123000</v>
      </c>
      <c r="C115">
        <v>6.61</v>
      </c>
      <c r="D115" t="s">
        <v>311</v>
      </c>
      <c r="E115" t="s">
        <v>312</v>
      </c>
      <c r="F115">
        <v>2025</v>
      </c>
      <c r="G115" t="s">
        <v>10</v>
      </c>
    </row>
    <row r="116" spans="1:7">
      <c r="A116" t="s">
        <v>313</v>
      </c>
      <c r="B116">
        <v>120000</v>
      </c>
      <c r="C116">
        <v>6.58</v>
      </c>
      <c r="D116" t="s">
        <v>314</v>
      </c>
      <c r="E116" t="s">
        <v>315</v>
      </c>
      <c r="F116">
        <v>2025</v>
      </c>
      <c r="G116" t="s">
        <v>10</v>
      </c>
    </row>
    <row r="117" spans="1:7">
      <c r="A117" t="s">
        <v>316</v>
      </c>
      <c r="B117">
        <v>112000</v>
      </c>
      <c r="C117">
        <v>6.55</v>
      </c>
      <c r="D117" t="s">
        <v>317</v>
      </c>
      <c r="E117" t="s">
        <v>266</v>
      </c>
      <c r="F117">
        <v>2025</v>
      </c>
      <c r="G117" t="s">
        <v>10</v>
      </c>
    </row>
    <row r="118" spans="1:7">
      <c r="A118" t="s">
        <v>318</v>
      </c>
      <c r="B118">
        <v>100000</v>
      </c>
      <c r="C118">
        <v>5.77</v>
      </c>
      <c r="D118" t="s">
        <v>17</v>
      </c>
      <c r="E118" t="s">
        <v>319</v>
      </c>
      <c r="F118">
        <v>2025</v>
      </c>
      <c r="G118" t="s">
        <v>10</v>
      </c>
    </row>
    <row r="119" spans="1:7">
      <c r="A119" t="s">
        <v>320</v>
      </c>
      <c r="B119">
        <v>99000</v>
      </c>
      <c r="C119">
        <v>6.34</v>
      </c>
      <c r="D119" t="s">
        <v>321</v>
      </c>
      <c r="E119" t="s">
        <v>322</v>
      </c>
      <c r="F119">
        <v>2025</v>
      </c>
      <c r="G119" t="s">
        <v>10</v>
      </c>
    </row>
    <row r="120" spans="1:7">
      <c r="A120" t="s">
        <v>323</v>
      </c>
      <c r="B120">
        <v>98000</v>
      </c>
      <c r="C120">
        <v>7.14</v>
      </c>
      <c r="D120" t="s">
        <v>324</v>
      </c>
      <c r="E120" t="s">
        <v>70</v>
      </c>
      <c r="F120">
        <v>2025</v>
      </c>
      <c r="G120" t="s">
        <v>10</v>
      </c>
    </row>
    <row r="121" spans="1:7">
      <c r="A121" t="s">
        <v>325</v>
      </c>
      <c r="B121">
        <v>89000</v>
      </c>
      <c r="C121">
        <v>8.3800000000000008</v>
      </c>
      <c r="D121" t="s">
        <v>88</v>
      </c>
      <c r="E121" t="s">
        <v>89</v>
      </c>
      <c r="F121">
        <v>2025</v>
      </c>
      <c r="G121" t="s">
        <v>10</v>
      </c>
    </row>
    <row r="122" spans="1:7">
      <c r="A122" t="s">
        <v>326</v>
      </c>
      <c r="B122">
        <v>85000</v>
      </c>
      <c r="C122">
        <v>6.09</v>
      </c>
      <c r="D122" t="s">
        <v>327</v>
      </c>
      <c r="E122" t="s">
        <v>328</v>
      </c>
      <c r="F122">
        <v>2025</v>
      </c>
      <c r="G122" t="s">
        <v>10</v>
      </c>
    </row>
    <row r="123" spans="1:7">
      <c r="A123" t="s">
        <v>329</v>
      </c>
      <c r="B123">
        <v>72000</v>
      </c>
      <c r="C123">
        <v>7.1</v>
      </c>
      <c r="D123" t="s">
        <v>330</v>
      </c>
      <c r="E123" t="s">
        <v>331</v>
      </c>
      <c r="F123">
        <v>2025</v>
      </c>
      <c r="G123" t="s">
        <v>10</v>
      </c>
    </row>
    <row r="124" spans="1:7">
      <c r="A124" t="s">
        <v>332</v>
      </c>
      <c r="B124">
        <v>67000</v>
      </c>
      <c r="C124">
        <v>6.77</v>
      </c>
      <c r="D124" t="s">
        <v>333</v>
      </c>
      <c r="E124" t="s">
        <v>334</v>
      </c>
      <c r="F124">
        <v>2025</v>
      </c>
      <c r="G124" t="s">
        <v>10</v>
      </c>
    </row>
    <row r="125" spans="1:7">
      <c r="A125" t="s">
        <v>335</v>
      </c>
      <c r="B125">
        <v>62000</v>
      </c>
      <c r="C125">
        <v>7.16</v>
      </c>
      <c r="D125" t="s">
        <v>336</v>
      </c>
      <c r="E125" t="s">
        <v>89</v>
      </c>
      <c r="F125">
        <v>2025</v>
      </c>
      <c r="G125" t="s">
        <v>10</v>
      </c>
    </row>
    <row r="126" spans="1:7">
      <c r="A126" t="s">
        <v>337</v>
      </c>
      <c r="B126">
        <v>26000</v>
      </c>
      <c r="C126">
        <v>5.96</v>
      </c>
      <c r="D126" t="s">
        <v>338</v>
      </c>
      <c r="E126" t="s">
        <v>339</v>
      </c>
      <c r="F126">
        <v>2025</v>
      </c>
      <c r="G126" t="s">
        <v>10</v>
      </c>
    </row>
    <row r="127" spans="1:7">
      <c r="A127" t="s">
        <v>340</v>
      </c>
      <c r="B127">
        <v>5800</v>
      </c>
      <c r="C127">
        <v>7.39</v>
      </c>
      <c r="D127" t="s">
        <v>144</v>
      </c>
      <c r="E127" t="s">
        <v>341</v>
      </c>
      <c r="F127">
        <v>2025</v>
      </c>
      <c r="G127" t="s">
        <v>10</v>
      </c>
    </row>
    <row r="128" spans="1:7">
      <c r="A128" t="s">
        <v>342</v>
      </c>
      <c r="B128">
        <v>5500</v>
      </c>
      <c r="C128">
        <v>5.4</v>
      </c>
      <c r="D128" t="s">
        <v>343</v>
      </c>
      <c r="E128" t="s">
        <v>334</v>
      </c>
      <c r="F128">
        <v>2025</v>
      </c>
      <c r="G128" t="s">
        <v>10</v>
      </c>
    </row>
    <row r="129" spans="1:7">
      <c r="A129" t="s">
        <v>344</v>
      </c>
      <c r="B129">
        <v>490000</v>
      </c>
      <c r="C129">
        <v>8.43</v>
      </c>
      <c r="D129" t="s">
        <v>345</v>
      </c>
      <c r="E129" t="s">
        <v>346</v>
      </c>
      <c r="F129">
        <v>2025</v>
      </c>
      <c r="G129" t="s">
        <v>10</v>
      </c>
    </row>
    <row r="130" spans="1:7">
      <c r="A130" t="s">
        <v>347</v>
      </c>
      <c r="B130">
        <v>325000</v>
      </c>
      <c r="C130">
        <v>8.16</v>
      </c>
      <c r="D130" t="s">
        <v>348</v>
      </c>
      <c r="E130" t="s">
        <v>349</v>
      </c>
      <c r="F130">
        <v>2025</v>
      </c>
      <c r="G130" t="s">
        <v>10</v>
      </c>
    </row>
    <row r="131" spans="1:7">
      <c r="A131" t="s">
        <v>350</v>
      </c>
      <c r="B131">
        <v>286000</v>
      </c>
      <c r="C131">
        <v>8.7200000000000006</v>
      </c>
      <c r="D131" t="s">
        <v>351</v>
      </c>
      <c r="E131" t="s">
        <v>9</v>
      </c>
      <c r="F131">
        <v>2025</v>
      </c>
      <c r="G131" t="s">
        <v>10</v>
      </c>
    </row>
    <row r="132" spans="1:7">
      <c r="A132" t="s">
        <v>352</v>
      </c>
      <c r="B132">
        <v>259000</v>
      </c>
      <c r="C132">
        <v>8.26</v>
      </c>
      <c r="D132" t="s">
        <v>353</v>
      </c>
      <c r="E132" t="s">
        <v>354</v>
      </c>
      <c r="F132">
        <v>2025</v>
      </c>
      <c r="G132" t="s">
        <v>10</v>
      </c>
    </row>
    <row r="133" spans="1:7">
      <c r="A133" t="s">
        <v>355</v>
      </c>
      <c r="B133">
        <v>216000</v>
      </c>
      <c r="C133">
        <v>7.89</v>
      </c>
      <c r="D133" t="s">
        <v>17</v>
      </c>
      <c r="E133" t="s">
        <v>307</v>
      </c>
      <c r="F133">
        <v>2025</v>
      </c>
      <c r="G133" t="s">
        <v>10</v>
      </c>
    </row>
    <row r="134" spans="1:7">
      <c r="A134" t="s">
        <v>356</v>
      </c>
      <c r="B134">
        <v>200000</v>
      </c>
      <c r="C134">
        <v>7.02</v>
      </c>
      <c r="D134" t="s">
        <v>357</v>
      </c>
      <c r="E134" t="s">
        <v>107</v>
      </c>
      <c r="F134">
        <v>2025</v>
      </c>
      <c r="G134" t="s">
        <v>10</v>
      </c>
    </row>
    <row r="135" spans="1:7">
      <c r="A135" t="s">
        <v>358</v>
      </c>
      <c r="B135">
        <v>136000</v>
      </c>
      <c r="C135">
        <v>7.57</v>
      </c>
      <c r="D135" t="s">
        <v>359</v>
      </c>
      <c r="E135" t="s">
        <v>133</v>
      </c>
      <c r="F135">
        <v>2025</v>
      </c>
      <c r="G135" t="s">
        <v>10</v>
      </c>
    </row>
    <row r="136" spans="1:7">
      <c r="A136" t="s">
        <v>360</v>
      </c>
      <c r="B136">
        <v>111000</v>
      </c>
      <c r="C136">
        <v>6.79</v>
      </c>
      <c r="D136" t="s">
        <v>361</v>
      </c>
      <c r="E136" t="s">
        <v>362</v>
      </c>
      <c r="F136">
        <v>2025</v>
      </c>
      <c r="G136" t="s">
        <v>10</v>
      </c>
    </row>
    <row r="137" spans="1:7">
      <c r="A137" t="s">
        <v>363</v>
      </c>
      <c r="B137">
        <v>109000</v>
      </c>
      <c r="C137">
        <v>7.54</v>
      </c>
      <c r="D137" t="s">
        <v>364</v>
      </c>
      <c r="E137" t="s">
        <v>365</v>
      </c>
      <c r="F137">
        <v>2025</v>
      </c>
      <c r="G137" t="s">
        <v>10</v>
      </c>
    </row>
    <row r="138" spans="1:7">
      <c r="A138" t="s">
        <v>366</v>
      </c>
      <c r="B138">
        <v>7900</v>
      </c>
      <c r="C138">
        <v>6.2</v>
      </c>
      <c r="D138" t="s">
        <v>367</v>
      </c>
      <c r="E138" t="s">
        <v>368</v>
      </c>
      <c r="F138">
        <v>2025</v>
      </c>
      <c r="G138" t="s">
        <v>10</v>
      </c>
    </row>
    <row r="139" spans="1:7">
      <c r="A139" t="s">
        <v>369</v>
      </c>
      <c r="B139">
        <v>6700</v>
      </c>
      <c r="C139">
        <v>6.06</v>
      </c>
      <c r="D139" t="s">
        <v>370</v>
      </c>
      <c r="E139" t="s">
        <v>133</v>
      </c>
      <c r="F139">
        <v>2025</v>
      </c>
      <c r="G139" t="s">
        <v>10</v>
      </c>
    </row>
    <row r="140" spans="1:7">
      <c r="A140" t="s">
        <v>371</v>
      </c>
      <c r="B140">
        <v>54000</v>
      </c>
      <c r="C140">
        <v>7.17</v>
      </c>
      <c r="D140" t="s">
        <v>17</v>
      </c>
      <c r="E140" t="s">
        <v>372</v>
      </c>
      <c r="F140">
        <v>2025</v>
      </c>
      <c r="G140" t="s">
        <v>10</v>
      </c>
    </row>
    <row r="141" spans="1:7">
      <c r="A141" t="s">
        <v>373</v>
      </c>
      <c r="B141">
        <v>994</v>
      </c>
      <c r="C141">
        <v>6.6</v>
      </c>
      <c r="D141" t="s">
        <v>374</v>
      </c>
      <c r="E141" t="s">
        <v>375</v>
      </c>
      <c r="F141">
        <v>2025</v>
      </c>
      <c r="G141" t="s">
        <v>10</v>
      </c>
    </row>
    <row r="142" spans="1:7">
      <c r="A142" t="s">
        <v>376</v>
      </c>
      <c r="B142">
        <v>954</v>
      </c>
      <c r="C142">
        <v>6.59</v>
      </c>
      <c r="D142" t="s">
        <v>377</v>
      </c>
      <c r="E142" t="s">
        <v>378</v>
      </c>
      <c r="F142">
        <v>2025</v>
      </c>
      <c r="G142" t="s">
        <v>10</v>
      </c>
    </row>
    <row r="143" spans="1:7">
      <c r="A143" t="s">
        <v>379</v>
      </c>
      <c r="B143">
        <v>777</v>
      </c>
      <c r="C143">
        <v>5.9</v>
      </c>
      <c r="D143" t="s">
        <v>380</v>
      </c>
      <c r="E143" t="s">
        <v>381</v>
      </c>
      <c r="F143">
        <v>2025</v>
      </c>
      <c r="G143" t="s">
        <v>10</v>
      </c>
    </row>
    <row r="144" spans="1:7">
      <c r="A144" t="s">
        <v>382</v>
      </c>
      <c r="B144">
        <v>659</v>
      </c>
      <c r="C144">
        <v>5.76</v>
      </c>
      <c r="D144" t="s">
        <v>383</v>
      </c>
      <c r="E144" t="s">
        <v>381</v>
      </c>
      <c r="F144">
        <v>2025</v>
      </c>
      <c r="G144" t="s">
        <v>10</v>
      </c>
    </row>
    <row r="145" spans="1:7">
      <c r="A145" t="s">
        <v>384</v>
      </c>
      <c r="B145">
        <v>620</v>
      </c>
      <c r="C145">
        <v>7.12</v>
      </c>
      <c r="D145" t="s">
        <v>385</v>
      </c>
      <c r="E145" t="s">
        <v>386</v>
      </c>
      <c r="F145">
        <v>2025</v>
      </c>
      <c r="G145" t="s">
        <v>10</v>
      </c>
    </row>
    <row r="146" spans="1:7">
      <c r="A146" t="s">
        <v>387</v>
      </c>
      <c r="B146">
        <v>594</v>
      </c>
      <c r="C146">
        <v>6.54</v>
      </c>
      <c r="D146" t="s">
        <v>388</v>
      </c>
      <c r="E146" t="s">
        <v>389</v>
      </c>
      <c r="F146">
        <v>2025</v>
      </c>
      <c r="G146" t="s">
        <v>10</v>
      </c>
    </row>
    <row r="147" spans="1:7">
      <c r="A147" t="s">
        <v>390</v>
      </c>
      <c r="B147">
        <v>570</v>
      </c>
      <c r="C147">
        <v>6.69</v>
      </c>
      <c r="D147" t="s">
        <v>391</v>
      </c>
      <c r="E147" t="s">
        <v>392</v>
      </c>
      <c r="F147">
        <v>2025</v>
      </c>
      <c r="G147" t="s">
        <v>10</v>
      </c>
    </row>
    <row r="148" spans="1:7">
      <c r="A148" t="s">
        <v>393</v>
      </c>
      <c r="B148">
        <v>523</v>
      </c>
      <c r="C148">
        <v>6.99</v>
      </c>
      <c r="D148" t="s">
        <v>197</v>
      </c>
      <c r="E148" t="s">
        <v>394</v>
      </c>
      <c r="F148">
        <v>2025</v>
      </c>
      <c r="G148" t="s">
        <v>10</v>
      </c>
    </row>
    <row r="149" spans="1:7">
      <c r="A149" t="s">
        <v>395</v>
      </c>
      <c r="B149">
        <v>514</v>
      </c>
      <c r="C149">
        <v>6.81</v>
      </c>
      <c r="D149" t="s">
        <v>396</v>
      </c>
      <c r="E149" t="s">
        <v>397</v>
      </c>
      <c r="F149">
        <v>2025</v>
      </c>
      <c r="G149" t="s">
        <v>10</v>
      </c>
    </row>
    <row r="150" spans="1:7">
      <c r="A150" t="s">
        <v>398</v>
      </c>
      <c r="B150">
        <v>513</v>
      </c>
      <c r="C150">
        <v>5.81</v>
      </c>
      <c r="D150" t="s">
        <v>399</v>
      </c>
      <c r="E150" t="s">
        <v>381</v>
      </c>
      <c r="F150">
        <v>2025</v>
      </c>
      <c r="G150" t="s">
        <v>10</v>
      </c>
    </row>
    <row r="151" spans="1:7">
      <c r="A151" t="s">
        <v>400</v>
      </c>
      <c r="B151">
        <v>500</v>
      </c>
      <c r="C151">
        <v>6.34</v>
      </c>
      <c r="D151" t="s">
        <v>17</v>
      </c>
      <c r="E151" t="s">
        <v>401</v>
      </c>
      <c r="F151">
        <v>2025</v>
      </c>
      <c r="G151" t="s">
        <v>10</v>
      </c>
    </row>
    <row r="152" spans="1:7">
      <c r="A152" t="s">
        <v>402</v>
      </c>
      <c r="B152">
        <v>486</v>
      </c>
      <c r="C152">
        <v>6.45</v>
      </c>
      <c r="D152" t="s">
        <v>403</v>
      </c>
      <c r="E152" t="s">
        <v>404</v>
      </c>
      <c r="F152">
        <v>2025</v>
      </c>
      <c r="G152" t="s">
        <v>10</v>
      </c>
    </row>
    <row r="153" spans="1:7">
      <c r="A153" t="s">
        <v>405</v>
      </c>
      <c r="B153">
        <v>438</v>
      </c>
      <c r="C153">
        <v>5.86</v>
      </c>
      <c r="D153" t="s">
        <v>406</v>
      </c>
      <c r="E153" t="s">
        <v>381</v>
      </c>
      <c r="F153">
        <v>2025</v>
      </c>
      <c r="G153" t="s">
        <v>10</v>
      </c>
    </row>
    <row r="154" spans="1:7">
      <c r="A154" t="s">
        <v>407</v>
      </c>
      <c r="B154">
        <v>423</v>
      </c>
      <c r="C154">
        <v>6.57</v>
      </c>
      <c r="D154" t="s">
        <v>231</v>
      </c>
      <c r="E154" t="s">
        <v>408</v>
      </c>
      <c r="F154">
        <v>2025</v>
      </c>
      <c r="G154" t="s">
        <v>10</v>
      </c>
    </row>
    <row r="155" spans="1:7">
      <c r="A155" t="s">
        <v>409</v>
      </c>
      <c r="B155">
        <v>9500</v>
      </c>
      <c r="C155">
        <v>7.61</v>
      </c>
      <c r="D155" t="s">
        <v>410</v>
      </c>
      <c r="E155" t="s">
        <v>411</v>
      </c>
      <c r="F155">
        <v>2025</v>
      </c>
      <c r="G155" t="s">
        <v>10</v>
      </c>
    </row>
    <row r="156" spans="1:7">
      <c r="A156" t="s">
        <v>412</v>
      </c>
      <c r="B156">
        <v>8300</v>
      </c>
      <c r="C156">
        <v>6.47</v>
      </c>
      <c r="D156" t="s">
        <v>410</v>
      </c>
      <c r="E156" t="s">
        <v>413</v>
      </c>
      <c r="F156">
        <v>2025</v>
      </c>
      <c r="G156" t="s">
        <v>10</v>
      </c>
    </row>
    <row r="157" spans="1:7">
      <c r="A157" t="s">
        <v>414</v>
      </c>
      <c r="B157">
        <v>3000</v>
      </c>
      <c r="C157">
        <v>6.21</v>
      </c>
      <c r="D157" t="s">
        <v>338</v>
      </c>
      <c r="E157" t="s">
        <v>339</v>
      </c>
      <c r="F157">
        <v>2025</v>
      </c>
      <c r="G157" t="s">
        <v>10</v>
      </c>
    </row>
    <row r="158" spans="1:7">
      <c r="A158" t="s">
        <v>415</v>
      </c>
      <c r="B158">
        <v>938</v>
      </c>
      <c r="C158">
        <v>6.11</v>
      </c>
      <c r="D158" t="s">
        <v>167</v>
      </c>
      <c r="E158" t="s">
        <v>416</v>
      </c>
      <c r="F158">
        <v>2025</v>
      </c>
      <c r="G158" t="s">
        <v>10</v>
      </c>
    </row>
    <row r="159" spans="1:7">
      <c r="A159" t="s">
        <v>417</v>
      </c>
      <c r="B159">
        <v>534000</v>
      </c>
      <c r="C159">
        <v>8.41</v>
      </c>
      <c r="D159" t="s">
        <v>418</v>
      </c>
      <c r="E159" t="s">
        <v>419</v>
      </c>
      <c r="F159">
        <v>2025</v>
      </c>
      <c r="G159" t="s">
        <v>420</v>
      </c>
    </row>
    <row r="160" spans="1:7">
      <c r="A160" t="s">
        <v>421</v>
      </c>
      <c r="B160">
        <v>472000</v>
      </c>
      <c r="C160">
        <v>8.2200000000000006</v>
      </c>
      <c r="D160" t="s">
        <v>422</v>
      </c>
      <c r="E160" t="s">
        <v>38</v>
      </c>
      <c r="F160">
        <v>2025</v>
      </c>
      <c r="G160" t="s">
        <v>420</v>
      </c>
    </row>
    <row r="161" spans="1:7">
      <c r="A161" t="s">
        <v>423</v>
      </c>
      <c r="B161">
        <v>454000</v>
      </c>
      <c r="C161">
        <v>8.18</v>
      </c>
      <c r="D161" t="s">
        <v>424</v>
      </c>
      <c r="E161" t="s">
        <v>300</v>
      </c>
      <c r="F161">
        <v>2025</v>
      </c>
      <c r="G161" t="s">
        <v>420</v>
      </c>
    </row>
    <row r="162" spans="1:7">
      <c r="A162" t="s">
        <v>425</v>
      </c>
      <c r="B162">
        <v>436000</v>
      </c>
      <c r="C162">
        <v>8.5299999999999994</v>
      </c>
      <c r="D162" t="s">
        <v>426</v>
      </c>
      <c r="E162" t="s">
        <v>300</v>
      </c>
      <c r="F162">
        <v>2025</v>
      </c>
      <c r="G162" t="s">
        <v>420</v>
      </c>
    </row>
    <row r="163" spans="1:7">
      <c r="A163" t="s">
        <v>427</v>
      </c>
      <c r="B163">
        <v>356000</v>
      </c>
      <c r="C163">
        <v>7.79</v>
      </c>
      <c r="D163" t="s">
        <v>428</v>
      </c>
      <c r="E163" t="s">
        <v>429</v>
      </c>
      <c r="F163">
        <v>2025</v>
      </c>
      <c r="G163" t="s">
        <v>420</v>
      </c>
    </row>
    <row r="164" spans="1:7">
      <c r="A164" t="s">
        <v>430</v>
      </c>
      <c r="B164">
        <v>287000</v>
      </c>
      <c r="C164">
        <v>8.02</v>
      </c>
      <c r="D164" t="s">
        <v>431</v>
      </c>
      <c r="E164" t="s">
        <v>432</v>
      </c>
      <c r="F164">
        <v>2025</v>
      </c>
      <c r="G164" t="s">
        <v>420</v>
      </c>
    </row>
    <row r="165" spans="1:7">
      <c r="A165" t="s">
        <v>433</v>
      </c>
      <c r="B165">
        <v>246000</v>
      </c>
      <c r="C165">
        <v>7.91</v>
      </c>
      <c r="D165" t="s">
        <v>282</v>
      </c>
      <c r="E165" t="s">
        <v>150</v>
      </c>
      <c r="F165">
        <v>2025</v>
      </c>
      <c r="G165" t="s">
        <v>420</v>
      </c>
    </row>
    <row r="166" spans="1:7">
      <c r="A166" t="s">
        <v>434</v>
      </c>
      <c r="B166">
        <v>237000</v>
      </c>
      <c r="C166">
        <v>8.34</v>
      </c>
      <c r="D166" t="s">
        <v>435</v>
      </c>
      <c r="E166" t="s">
        <v>159</v>
      </c>
      <c r="F166">
        <v>2025</v>
      </c>
      <c r="G166" t="s">
        <v>420</v>
      </c>
    </row>
    <row r="167" spans="1:7">
      <c r="A167" t="s">
        <v>436</v>
      </c>
      <c r="B167">
        <v>209000</v>
      </c>
      <c r="C167">
        <v>8.11</v>
      </c>
      <c r="D167" t="s">
        <v>437</v>
      </c>
      <c r="E167" t="s">
        <v>438</v>
      </c>
      <c r="F167">
        <v>2025</v>
      </c>
      <c r="G167" t="s">
        <v>420</v>
      </c>
    </row>
    <row r="168" spans="1:7">
      <c r="A168" t="s">
        <v>439</v>
      </c>
      <c r="B168">
        <v>208000</v>
      </c>
      <c r="C168">
        <v>8.17</v>
      </c>
      <c r="D168" t="s">
        <v>440</v>
      </c>
      <c r="E168" t="s">
        <v>300</v>
      </c>
      <c r="F168">
        <v>2025</v>
      </c>
      <c r="G168" t="s">
        <v>420</v>
      </c>
    </row>
    <row r="169" spans="1:7">
      <c r="A169" t="s">
        <v>441</v>
      </c>
      <c r="B169">
        <v>194000</v>
      </c>
      <c r="C169">
        <v>8.5</v>
      </c>
      <c r="D169" t="s">
        <v>442</v>
      </c>
      <c r="E169" t="s">
        <v>443</v>
      </c>
      <c r="F169">
        <v>2025</v>
      </c>
      <c r="G169" t="s">
        <v>420</v>
      </c>
    </row>
    <row r="170" spans="1:7">
      <c r="A170" t="s">
        <v>444</v>
      </c>
      <c r="B170">
        <v>191000</v>
      </c>
      <c r="C170">
        <v>7.06</v>
      </c>
      <c r="D170" t="s">
        <v>445</v>
      </c>
      <c r="E170" t="s">
        <v>446</v>
      </c>
      <c r="F170">
        <v>2025</v>
      </c>
      <c r="G170" t="s">
        <v>420</v>
      </c>
    </row>
    <row r="171" spans="1:7">
      <c r="A171" t="s">
        <v>447</v>
      </c>
      <c r="B171">
        <v>188000</v>
      </c>
      <c r="C171">
        <v>7.81</v>
      </c>
      <c r="D171" t="s">
        <v>448</v>
      </c>
      <c r="E171" t="s">
        <v>449</v>
      </c>
      <c r="F171">
        <v>2025</v>
      </c>
      <c r="G171" t="s">
        <v>420</v>
      </c>
    </row>
    <row r="172" spans="1:7">
      <c r="A172" t="s">
        <v>450</v>
      </c>
      <c r="B172">
        <v>175000</v>
      </c>
      <c r="C172">
        <v>6.9</v>
      </c>
      <c r="D172" t="s">
        <v>451</v>
      </c>
      <c r="E172" t="s">
        <v>297</v>
      </c>
      <c r="F172">
        <v>2025</v>
      </c>
      <c r="G172" t="s">
        <v>420</v>
      </c>
    </row>
    <row r="173" spans="1:7">
      <c r="A173" t="s">
        <v>452</v>
      </c>
      <c r="B173">
        <v>137000</v>
      </c>
      <c r="C173">
        <v>7.61</v>
      </c>
      <c r="D173" t="s">
        <v>453</v>
      </c>
      <c r="E173" t="s">
        <v>454</v>
      </c>
      <c r="F173">
        <v>2025</v>
      </c>
      <c r="G173" t="s">
        <v>420</v>
      </c>
    </row>
    <row r="174" spans="1:7">
      <c r="A174" t="s">
        <v>455</v>
      </c>
      <c r="B174">
        <v>121000</v>
      </c>
      <c r="C174">
        <v>6.62</v>
      </c>
      <c r="D174" t="s">
        <v>456</v>
      </c>
      <c r="E174" t="s">
        <v>121</v>
      </c>
      <c r="F174">
        <v>2025</v>
      </c>
      <c r="G174" t="s">
        <v>420</v>
      </c>
    </row>
    <row r="175" spans="1:7">
      <c r="A175" t="s">
        <v>457</v>
      </c>
      <c r="B175">
        <v>106000</v>
      </c>
      <c r="C175">
        <v>7.63</v>
      </c>
      <c r="D175" t="s">
        <v>458</v>
      </c>
      <c r="E175" t="s">
        <v>250</v>
      </c>
      <c r="F175">
        <v>2025</v>
      </c>
      <c r="G175" t="s">
        <v>420</v>
      </c>
    </row>
    <row r="176" spans="1:7">
      <c r="A176" t="s">
        <v>459</v>
      </c>
      <c r="B176">
        <v>91000</v>
      </c>
      <c r="C176">
        <v>6.17</v>
      </c>
      <c r="D176" t="s">
        <v>460</v>
      </c>
      <c r="E176" t="s">
        <v>150</v>
      </c>
      <c r="F176">
        <v>2025</v>
      </c>
      <c r="G176" t="s">
        <v>420</v>
      </c>
    </row>
    <row r="177" spans="1:7">
      <c r="A177" t="s">
        <v>461</v>
      </c>
      <c r="B177">
        <v>86000</v>
      </c>
      <c r="C177">
        <v>6.12</v>
      </c>
      <c r="D177" t="s">
        <v>327</v>
      </c>
      <c r="E177" t="s">
        <v>101</v>
      </c>
      <c r="F177">
        <v>2025</v>
      </c>
      <c r="G177" t="s">
        <v>420</v>
      </c>
    </row>
    <row r="178" spans="1:7">
      <c r="A178" t="s">
        <v>462</v>
      </c>
      <c r="B178">
        <v>83000</v>
      </c>
      <c r="C178">
        <v>6.57</v>
      </c>
      <c r="D178" t="s">
        <v>463</v>
      </c>
      <c r="E178" t="s">
        <v>464</v>
      </c>
      <c r="F178">
        <v>2025</v>
      </c>
      <c r="G178" t="s">
        <v>420</v>
      </c>
    </row>
    <row r="179" spans="1:7">
      <c r="A179" t="s">
        <v>465</v>
      </c>
      <c r="B179">
        <v>69000</v>
      </c>
      <c r="C179">
        <v>6.71</v>
      </c>
      <c r="D179" t="s">
        <v>466</v>
      </c>
      <c r="E179" t="s">
        <v>467</v>
      </c>
      <c r="F179">
        <v>2025</v>
      </c>
      <c r="G179" t="s">
        <v>420</v>
      </c>
    </row>
    <row r="180" spans="1:7">
      <c r="A180" t="s">
        <v>468</v>
      </c>
      <c r="B180">
        <v>64000</v>
      </c>
      <c r="C180">
        <v>7.37</v>
      </c>
      <c r="D180" t="s">
        <v>469</v>
      </c>
      <c r="E180" t="s">
        <v>470</v>
      </c>
      <c r="F180">
        <v>2025</v>
      </c>
      <c r="G180" t="s">
        <v>420</v>
      </c>
    </row>
    <row r="181" spans="1:7">
      <c r="A181" t="s">
        <v>471</v>
      </c>
      <c r="B181">
        <v>3500</v>
      </c>
      <c r="C181">
        <v>5.67</v>
      </c>
      <c r="D181" t="s">
        <v>138</v>
      </c>
      <c r="E181" t="s">
        <v>139</v>
      </c>
      <c r="F181">
        <v>2025</v>
      </c>
      <c r="G181" t="s">
        <v>420</v>
      </c>
    </row>
    <row r="182" spans="1:7">
      <c r="A182" t="s">
        <v>472</v>
      </c>
      <c r="B182">
        <v>205000</v>
      </c>
      <c r="C182">
        <v>7.37</v>
      </c>
      <c r="D182" t="s">
        <v>473</v>
      </c>
      <c r="E182" t="s">
        <v>289</v>
      </c>
      <c r="F182">
        <v>2025</v>
      </c>
      <c r="G182" t="s">
        <v>420</v>
      </c>
    </row>
    <row r="183" spans="1:7">
      <c r="A183" t="s">
        <v>474</v>
      </c>
      <c r="B183">
        <v>43000</v>
      </c>
      <c r="C183">
        <v>7.2</v>
      </c>
      <c r="D183" t="s">
        <v>475</v>
      </c>
      <c r="E183" t="s">
        <v>191</v>
      </c>
      <c r="F183">
        <v>2025</v>
      </c>
      <c r="G183" t="s">
        <v>420</v>
      </c>
    </row>
    <row r="184" spans="1:7">
      <c r="A184" t="s">
        <v>476</v>
      </c>
      <c r="B184">
        <v>304000</v>
      </c>
      <c r="C184">
        <v>8.76</v>
      </c>
      <c r="D184" t="s">
        <v>477</v>
      </c>
      <c r="E184" t="s">
        <v>478</v>
      </c>
      <c r="F184">
        <v>2025</v>
      </c>
      <c r="G184" t="s">
        <v>420</v>
      </c>
    </row>
    <row r="185" spans="1:7">
      <c r="A185" t="s">
        <v>479</v>
      </c>
      <c r="B185">
        <v>242000</v>
      </c>
      <c r="C185">
        <v>8.68</v>
      </c>
      <c r="D185" t="s">
        <v>144</v>
      </c>
      <c r="E185" t="s">
        <v>480</v>
      </c>
      <c r="F185">
        <v>2025</v>
      </c>
      <c r="G185" t="s">
        <v>420</v>
      </c>
    </row>
    <row r="186" spans="1:7">
      <c r="A186" t="s">
        <v>481</v>
      </c>
      <c r="B186">
        <v>199000</v>
      </c>
      <c r="C186">
        <v>8.61</v>
      </c>
      <c r="D186" t="s">
        <v>482</v>
      </c>
      <c r="E186" t="s">
        <v>483</v>
      </c>
      <c r="F186">
        <v>2025</v>
      </c>
      <c r="G186" t="s">
        <v>420</v>
      </c>
    </row>
    <row r="187" spans="1:7">
      <c r="A187" t="s">
        <v>484</v>
      </c>
      <c r="B187">
        <v>695</v>
      </c>
      <c r="C187">
        <v>6.04</v>
      </c>
      <c r="D187" t="s">
        <v>485</v>
      </c>
      <c r="E187" t="s">
        <v>486</v>
      </c>
      <c r="F187">
        <v>2025</v>
      </c>
      <c r="G187" t="s">
        <v>420</v>
      </c>
    </row>
    <row r="188" spans="1:7">
      <c r="A188" t="s">
        <v>487</v>
      </c>
      <c r="B188">
        <v>662</v>
      </c>
      <c r="C188">
        <v>5.84</v>
      </c>
      <c r="D188" t="s">
        <v>406</v>
      </c>
      <c r="E188" t="s">
        <v>381</v>
      </c>
      <c r="F188">
        <v>2025</v>
      </c>
      <c r="G188" t="s">
        <v>420</v>
      </c>
    </row>
    <row r="189" spans="1:7">
      <c r="A189" t="s">
        <v>488</v>
      </c>
      <c r="B189">
        <v>656</v>
      </c>
      <c r="C189">
        <v>6.95</v>
      </c>
      <c r="D189" t="s">
        <v>197</v>
      </c>
      <c r="E189" t="s">
        <v>212</v>
      </c>
      <c r="F189">
        <v>2025</v>
      </c>
      <c r="G189" t="s">
        <v>420</v>
      </c>
    </row>
    <row r="190" spans="1:7">
      <c r="A190" t="s">
        <v>489</v>
      </c>
      <c r="B190">
        <v>605</v>
      </c>
      <c r="C190">
        <v>5.98</v>
      </c>
      <c r="D190" t="s">
        <v>406</v>
      </c>
      <c r="E190" t="s">
        <v>381</v>
      </c>
      <c r="F190">
        <v>2025</v>
      </c>
      <c r="G190" t="s">
        <v>420</v>
      </c>
    </row>
    <row r="191" spans="1:7">
      <c r="A191" t="s">
        <v>490</v>
      </c>
      <c r="B191">
        <v>588</v>
      </c>
      <c r="C191">
        <v>6.35</v>
      </c>
      <c r="D191" t="s">
        <v>491</v>
      </c>
      <c r="E191" t="s">
        <v>300</v>
      </c>
      <c r="F191">
        <v>2025</v>
      </c>
      <c r="G191" t="s">
        <v>420</v>
      </c>
    </row>
    <row r="192" spans="1:7">
      <c r="A192" t="s">
        <v>492</v>
      </c>
      <c r="B192">
        <v>556</v>
      </c>
      <c r="C192">
        <v>6.45</v>
      </c>
      <c r="D192" t="s">
        <v>197</v>
      </c>
      <c r="E192" t="s">
        <v>212</v>
      </c>
      <c r="F192">
        <v>2025</v>
      </c>
      <c r="G192" t="s">
        <v>420</v>
      </c>
    </row>
    <row r="193" spans="1:7">
      <c r="A193" t="s">
        <v>493</v>
      </c>
      <c r="B193">
        <v>517</v>
      </c>
      <c r="C193">
        <v>5.77</v>
      </c>
      <c r="D193" t="s">
        <v>406</v>
      </c>
      <c r="E193" t="s">
        <v>381</v>
      </c>
      <c r="F193">
        <v>2025</v>
      </c>
      <c r="G193" t="s">
        <v>420</v>
      </c>
    </row>
    <row r="194" spans="1:7">
      <c r="A194" t="s">
        <v>494</v>
      </c>
      <c r="B194">
        <v>444000</v>
      </c>
      <c r="C194">
        <v>9.09</v>
      </c>
      <c r="D194" t="s">
        <v>495</v>
      </c>
      <c r="E194" t="s">
        <v>13</v>
      </c>
      <c r="F194">
        <v>2025</v>
      </c>
      <c r="G194" t="s">
        <v>420</v>
      </c>
    </row>
    <row r="195" spans="1:7">
      <c r="A195" t="s">
        <v>496</v>
      </c>
      <c r="B195">
        <v>360000</v>
      </c>
      <c r="C195">
        <v>8.67</v>
      </c>
      <c r="D195" t="s">
        <v>497</v>
      </c>
      <c r="E195" t="s">
        <v>498</v>
      </c>
      <c r="F195">
        <v>2025</v>
      </c>
      <c r="G195" t="s">
        <v>420</v>
      </c>
    </row>
    <row r="196" spans="1:7">
      <c r="A196" t="s">
        <v>499</v>
      </c>
      <c r="B196">
        <v>66000</v>
      </c>
      <c r="C196">
        <v>8.35</v>
      </c>
      <c r="D196" t="s">
        <v>500</v>
      </c>
      <c r="E196" t="s">
        <v>501</v>
      </c>
      <c r="F196">
        <v>2025</v>
      </c>
      <c r="G196" t="s">
        <v>420</v>
      </c>
    </row>
    <row r="197" spans="1:7">
      <c r="A197" t="s">
        <v>502</v>
      </c>
      <c r="B197">
        <v>2800</v>
      </c>
      <c r="C197">
        <v>6.82</v>
      </c>
      <c r="D197" t="s">
        <v>503</v>
      </c>
      <c r="E197" t="s">
        <v>498</v>
      </c>
      <c r="F197">
        <v>2025</v>
      </c>
      <c r="G197" t="s">
        <v>420</v>
      </c>
    </row>
    <row r="198" spans="1:7">
      <c r="A198" t="s">
        <v>504</v>
      </c>
      <c r="B198">
        <v>953</v>
      </c>
      <c r="C198">
        <v>7.63</v>
      </c>
      <c r="D198" t="s">
        <v>57</v>
      </c>
      <c r="E198" t="s">
        <v>505</v>
      </c>
      <c r="F198">
        <v>2025</v>
      </c>
      <c r="G198" t="s">
        <v>420</v>
      </c>
    </row>
    <row r="199" spans="1:7">
      <c r="A199" t="s">
        <v>506</v>
      </c>
      <c r="B199">
        <v>9600</v>
      </c>
      <c r="C199">
        <v>6.39</v>
      </c>
      <c r="D199" t="s">
        <v>437</v>
      </c>
      <c r="E199" t="s">
        <v>438</v>
      </c>
      <c r="F199">
        <v>2025</v>
      </c>
      <c r="G199" t="s">
        <v>420</v>
      </c>
    </row>
    <row r="200" spans="1:7">
      <c r="A200" t="s">
        <v>507</v>
      </c>
      <c r="B200">
        <v>601</v>
      </c>
      <c r="C200">
        <v>5.81</v>
      </c>
      <c r="D200" t="s">
        <v>508</v>
      </c>
      <c r="E200" t="s">
        <v>509</v>
      </c>
      <c r="F200">
        <v>2025</v>
      </c>
      <c r="G200" t="s">
        <v>420</v>
      </c>
    </row>
    <row r="201" spans="1:7">
      <c r="A201" t="s">
        <v>510</v>
      </c>
      <c r="B201">
        <v>308000</v>
      </c>
      <c r="C201">
        <v>7.71</v>
      </c>
      <c r="D201" t="s">
        <v>511</v>
      </c>
      <c r="E201" t="s">
        <v>24</v>
      </c>
      <c r="F201">
        <v>2025</v>
      </c>
      <c r="G201" t="s">
        <v>257</v>
      </c>
    </row>
    <row r="202" spans="1:7">
      <c r="A202" t="s">
        <v>512</v>
      </c>
      <c r="B202">
        <v>224000</v>
      </c>
      <c r="C202">
        <v>7.63</v>
      </c>
      <c r="D202" t="s">
        <v>513</v>
      </c>
      <c r="E202" t="s">
        <v>300</v>
      </c>
      <c r="F202">
        <v>2025</v>
      </c>
      <c r="G202" t="s">
        <v>257</v>
      </c>
    </row>
    <row r="203" spans="1:7">
      <c r="A203" t="s">
        <v>514</v>
      </c>
      <c r="B203">
        <v>181000</v>
      </c>
      <c r="C203">
        <v>6.96</v>
      </c>
      <c r="D203" t="s">
        <v>448</v>
      </c>
      <c r="E203" t="s">
        <v>32</v>
      </c>
      <c r="F203">
        <v>2025</v>
      </c>
      <c r="G203" t="s">
        <v>257</v>
      </c>
    </row>
    <row r="204" spans="1:7">
      <c r="A204" t="s">
        <v>515</v>
      </c>
      <c r="B204">
        <v>179000</v>
      </c>
      <c r="C204">
        <v>6.18</v>
      </c>
      <c r="D204" t="s">
        <v>54</v>
      </c>
      <c r="E204" t="s">
        <v>516</v>
      </c>
      <c r="F204">
        <v>2025</v>
      </c>
      <c r="G204" t="s">
        <v>257</v>
      </c>
    </row>
    <row r="205" spans="1:7">
      <c r="A205" t="s">
        <v>517</v>
      </c>
      <c r="B205">
        <v>160000</v>
      </c>
      <c r="C205">
        <v>6.83</v>
      </c>
      <c r="D205" t="s">
        <v>57</v>
      </c>
      <c r="E205" t="s">
        <v>518</v>
      </c>
      <c r="F205">
        <v>2025</v>
      </c>
      <c r="G205" t="s">
        <v>257</v>
      </c>
    </row>
    <row r="206" spans="1:7">
      <c r="A206" t="s">
        <v>519</v>
      </c>
      <c r="B206">
        <v>127000</v>
      </c>
      <c r="C206">
        <v>6.18</v>
      </c>
      <c r="D206" t="s">
        <v>520</v>
      </c>
      <c r="E206" t="s">
        <v>159</v>
      </c>
      <c r="F206">
        <v>2025</v>
      </c>
      <c r="G206" t="s">
        <v>257</v>
      </c>
    </row>
    <row r="207" spans="1:7">
      <c r="A207" t="s">
        <v>521</v>
      </c>
      <c r="B207">
        <v>126000</v>
      </c>
      <c r="C207">
        <v>6.7</v>
      </c>
      <c r="D207" t="s">
        <v>522</v>
      </c>
      <c r="E207" t="s">
        <v>523</v>
      </c>
      <c r="F207">
        <v>2025</v>
      </c>
      <c r="G207" t="s">
        <v>257</v>
      </c>
    </row>
    <row r="208" spans="1:7">
      <c r="A208" t="s">
        <v>524</v>
      </c>
      <c r="B208">
        <v>118000</v>
      </c>
      <c r="C208">
        <v>7.05</v>
      </c>
      <c r="D208" t="s">
        <v>458</v>
      </c>
      <c r="E208" t="s">
        <v>21</v>
      </c>
      <c r="F208">
        <v>2025</v>
      </c>
      <c r="G208" t="s">
        <v>257</v>
      </c>
    </row>
    <row r="209" spans="1:7">
      <c r="A209" t="s">
        <v>525</v>
      </c>
      <c r="B209">
        <v>97000</v>
      </c>
      <c r="C209">
        <v>8.58</v>
      </c>
      <c r="D209" t="s">
        <v>526</v>
      </c>
      <c r="E209" t="s">
        <v>432</v>
      </c>
      <c r="F209">
        <v>2025</v>
      </c>
      <c r="G209" t="s">
        <v>257</v>
      </c>
    </row>
    <row r="210" spans="1:7">
      <c r="A210" t="s">
        <v>527</v>
      </c>
      <c r="B210">
        <v>90000</v>
      </c>
      <c r="C210">
        <v>7.25</v>
      </c>
      <c r="D210" t="s">
        <v>528</v>
      </c>
      <c r="E210" t="s">
        <v>276</v>
      </c>
      <c r="F210">
        <v>2025</v>
      </c>
      <c r="G210" t="s">
        <v>257</v>
      </c>
    </row>
    <row r="211" spans="1:7">
      <c r="A211" t="s">
        <v>529</v>
      </c>
      <c r="B211">
        <v>88000</v>
      </c>
      <c r="C211">
        <v>7.48</v>
      </c>
      <c r="D211" t="s">
        <v>309</v>
      </c>
      <c r="E211" t="s">
        <v>101</v>
      </c>
      <c r="F211">
        <v>2025</v>
      </c>
      <c r="G211" t="s">
        <v>257</v>
      </c>
    </row>
    <row r="212" spans="1:7">
      <c r="A212" t="s">
        <v>530</v>
      </c>
      <c r="B212">
        <v>75000</v>
      </c>
      <c r="C212">
        <v>8.0299999999999994</v>
      </c>
      <c r="D212" t="s">
        <v>531</v>
      </c>
      <c r="E212" t="s">
        <v>432</v>
      </c>
      <c r="F212">
        <v>2025</v>
      </c>
      <c r="G212" t="s">
        <v>257</v>
      </c>
    </row>
    <row r="213" spans="1:7">
      <c r="A213" t="s">
        <v>532</v>
      </c>
      <c r="B213">
        <v>59000</v>
      </c>
      <c r="C213">
        <v>7.6</v>
      </c>
      <c r="D213" t="s">
        <v>503</v>
      </c>
      <c r="E213" t="s">
        <v>533</v>
      </c>
      <c r="F213">
        <v>2025</v>
      </c>
      <c r="G213" t="s">
        <v>257</v>
      </c>
    </row>
    <row r="214" spans="1:7">
      <c r="A214" t="s">
        <v>534</v>
      </c>
      <c r="B214">
        <v>6600</v>
      </c>
      <c r="C214">
        <v>5.67</v>
      </c>
      <c r="D214" t="s">
        <v>535</v>
      </c>
      <c r="E214" t="s">
        <v>58</v>
      </c>
      <c r="F214">
        <v>2025</v>
      </c>
      <c r="G214" t="s">
        <v>257</v>
      </c>
    </row>
    <row r="215" spans="1:7">
      <c r="A215" t="s">
        <v>536</v>
      </c>
      <c r="B215">
        <v>955</v>
      </c>
      <c r="C215">
        <v>5.77</v>
      </c>
      <c r="D215" t="s">
        <v>167</v>
      </c>
      <c r="E215" t="s">
        <v>381</v>
      </c>
      <c r="F215">
        <v>2025</v>
      </c>
      <c r="G215" t="s">
        <v>257</v>
      </c>
    </row>
    <row r="216" spans="1:7">
      <c r="A216" t="s">
        <v>537</v>
      </c>
      <c r="B216">
        <v>888</v>
      </c>
      <c r="C216">
        <v>7.44</v>
      </c>
      <c r="D216" t="s">
        <v>197</v>
      </c>
      <c r="E216" t="s">
        <v>397</v>
      </c>
      <c r="F216">
        <v>2025</v>
      </c>
      <c r="G216" t="s">
        <v>257</v>
      </c>
    </row>
    <row r="217" spans="1:7">
      <c r="A217" t="s">
        <v>538</v>
      </c>
      <c r="B217">
        <v>835</v>
      </c>
      <c r="C217">
        <v>7.11</v>
      </c>
      <c r="D217" t="s">
        <v>197</v>
      </c>
      <c r="E217" t="s">
        <v>212</v>
      </c>
      <c r="F217">
        <v>2025</v>
      </c>
      <c r="G217" t="s">
        <v>257</v>
      </c>
    </row>
    <row r="218" spans="1:7">
      <c r="A218" t="s">
        <v>539</v>
      </c>
      <c r="B218">
        <v>799</v>
      </c>
      <c r="C218">
        <v>6.6</v>
      </c>
      <c r="D218" t="s">
        <v>540</v>
      </c>
      <c r="E218" t="s">
        <v>541</v>
      </c>
      <c r="F218">
        <v>2025</v>
      </c>
      <c r="G218" t="s">
        <v>257</v>
      </c>
    </row>
    <row r="219" spans="1:7">
      <c r="A219" t="s">
        <v>542</v>
      </c>
      <c r="B219">
        <v>734</v>
      </c>
      <c r="C219">
        <v>6.75</v>
      </c>
      <c r="D219" t="s">
        <v>543</v>
      </c>
      <c r="E219" t="s">
        <v>544</v>
      </c>
      <c r="F219">
        <v>2025</v>
      </c>
      <c r="G219" t="s">
        <v>257</v>
      </c>
    </row>
    <row r="220" spans="1:7">
      <c r="A220" t="s">
        <v>545</v>
      </c>
      <c r="B220">
        <v>628</v>
      </c>
      <c r="C220">
        <v>5.89</v>
      </c>
      <c r="D220" t="s">
        <v>231</v>
      </c>
      <c r="E220" t="s">
        <v>546</v>
      </c>
      <c r="F220">
        <v>2025</v>
      </c>
      <c r="G220" t="s">
        <v>257</v>
      </c>
    </row>
    <row r="221" spans="1:7">
      <c r="A221" t="s">
        <v>547</v>
      </c>
      <c r="B221">
        <v>621</v>
      </c>
      <c r="C221">
        <v>6.57</v>
      </c>
      <c r="D221" t="s">
        <v>548</v>
      </c>
      <c r="E221" t="s">
        <v>229</v>
      </c>
      <c r="F221">
        <v>2025</v>
      </c>
      <c r="G221" t="s">
        <v>257</v>
      </c>
    </row>
    <row r="222" spans="1:7">
      <c r="A222" t="s">
        <v>549</v>
      </c>
      <c r="B222">
        <v>551</v>
      </c>
      <c r="C222">
        <v>6.95</v>
      </c>
      <c r="D222" t="s">
        <v>197</v>
      </c>
      <c r="E222" t="s">
        <v>550</v>
      </c>
      <c r="F222">
        <v>2025</v>
      </c>
      <c r="G222" t="s">
        <v>257</v>
      </c>
    </row>
    <row r="223" spans="1:7">
      <c r="A223" t="s">
        <v>551</v>
      </c>
      <c r="B223">
        <v>524</v>
      </c>
      <c r="C223">
        <v>6.59</v>
      </c>
      <c r="D223" t="s">
        <v>197</v>
      </c>
      <c r="E223" t="s">
        <v>212</v>
      </c>
      <c r="F223">
        <v>2025</v>
      </c>
      <c r="G223" t="s">
        <v>257</v>
      </c>
    </row>
    <row r="224" spans="1:7">
      <c r="A224" t="s">
        <v>552</v>
      </c>
      <c r="B224">
        <v>7000</v>
      </c>
      <c r="C224">
        <v>7.41</v>
      </c>
      <c r="D224" t="s">
        <v>553</v>
      </c>
      <c r="E224" t="s">
        <v>253</v>
      </c>
      <c r="F224">
        <v>2025</v>
      </c>
      <c r="G224" t="s">
        <v>257</v>
      </c>
    </row>
    <row r="225" spans="1:7">
      <c r="A225" t="s">
        <v>554</v>
      </c>
      <c r="B225">
        <v>5400</v>
      </c>
      <c r="C225">
        <v>6.8</v>
      </c>
      <c r="D225" t="s">
        <v>555</v>
      </c>
      <c r="E225" t="s">
        <v>349</v>
      </c>
      <c r="F225">
        <v>2025</v>
      </c>
      <c r="G225" t="s">
        <v>257</v>
      </c>
    </row>
    <row r="226" spans="1:7">
      <c r="A226" t="s">
        <v>556</v>
      </c>
      <c r="B226">
        <v>972</v>
      </c>
      <c r="C226">
        <v>6.6</v>
      </c>
      <c r="D226" t="s">
        <v>557</v>
      </c>
      <c r="E226" t="s">
        <v>558</v>
      </c>
      <c r="F226">
        <v>2025</v>
      </c>
      <c r="G226" t="s">
        <v>257</v>
      </c>
    </row>
    <row r="227" spans="1:7">
      <c r="A227" t="s">
        <v>559</v>
      </c>
      <c r="B227">
        <v>432000</v>
      </c>
      <c r="C227">
        <v>4.75</v>
      </c>
      <c r="D227" t="s">
        <v>560</v>
      </c>
      <c r="E227" t="s">
        <v>307</v>
      </c>
      <c r="F227">
        <v>2025</v>
      </c>
      <c r="G227" t="s">
        <v>561</v>
      </c>
    </row>
    <row r="228" spans="1:7">
      <c r="A228" t="s">
        <v>562</v>
      </c>
      <c r="B228">
        <v>332000</v>
      </c>
      <c r="C228">
        <v>8.2100000000000009</v>
      </c>
      <c r="D228" t="s">
        <v>563</v>
      </c>
      <c r="E228" t="s">
        <v>564</v>
      </c>
      <c r="F228">
        <v>2025</v>
      </c>
      <c r="G228" t="s">
        <v>561</v>
      </c>
    </row>
    <row r="229" spans="1:7">
      <c r="A229" t="s">
        <v>565</v>
      </c>
      <c r="B229">
        <v>293000</v>
      </c>
      <c r="C229">
        <v>8.7200000000000006</v>
      </c>
      <c r="D229" t="s">
        <v>566</v>
      </c>
      <c r="E229" t="s">
        <v>38</v>
      </c>
      <c r="F229">
        <v>2025</v>
      </c>
      <c r="G229" t="s">
        <v>561</v>
      </c>
    </row>
    <row r="230" spans="1:7">
      <c r="A230" t="s">
        <v>567</v>
      </c>
      <c r="B230">
        <v>166000</v>
      </c>
      <c r="C230">
        <v>6.57</v>
      </c>
      <c r="D230" t="s">
        <v>568</v>
      </c>
      <c r="E230" t="s">
        <v>124</v>
      </c>
      <c r="F230">
        <v>2025</v>
      </c>
      <c r="G230" t="s">
        <v>561</v>
      </c>
    </row>
    <row r="231" spans="1:7">
      <c r="A231" t="s">
        <v>569</v>
      </c>
      <c r="B231">
        <v>161000</v>
      </c>
      <c r="C231">
        <v>7.36</v>
      </c>
      <c r="D231" t="s">
        <v>570</v>
      </c>
      <c r="E231" t="s">
        <v>159</v>
      </c>
      <c r="F231">
        <v>2025</v>
      </c>
      <c r="G231" t="s">
        <v>561</v>
      </c>
    </row>
    <row r="232" spans="1:7">
      <c r="A232" t="s">
        <v>571</v>
      </c>
      <c r="B232">
        <v>132000</v>
      </c>
      <c r="C232">
        <v>7.68</v>
      </c>
      <c r="D232" t="s">
        <v>572</v>
      </c>
      <c r="E232" t="s">
        <v>13</v>
      </c>
      <c r="F232">
        <v>2025</v>
      </c>
      <c r="G232" t="s">
        <v>561</v>
      </c>
    </row>
    <row r="233" spans="1:7">
      <c r="A233" t="s">
        <v>573</v>
      </c>
      <c r="B233">
        <v>110000</v>
      </c>
      <c r="C233">
        <v>6.5</v>
      </c>
      <c r="D233" t="s">
        <v>268</v>
      </c>
      <c r="E233" t="s">
        <v>303</v>
      </c>
      <c r="F233">
        <v>2025</v>
      </c>
      <c r="G233" t="s">
        <v>561</v>
      </c>
    </row>
    <row r="234" spans="1:7">
      <c r="A234" t="s">
        <v>574</v>
      </c>
      <c r="B234">
        <v>105000</v>
      </c>
      <c r="C234">
        <v>7.47</v>
      </c>
      <c r="D234" t="s">
        <v>568</v>
      </c>
      <c r="E234" t="s">
        <v>575</v>
      </c>
      <c r="F234">
        <v>2025</v>
      </c>
      <c r="G234" t="s">
        <v>561</v>
      </c>
    </row>
    <row r="235" spans="1:7">
      <c r="A235" t="s">
        <v>576</v>
      </c>
      <c r="B235">
        <v>104000</v>
      </c>
      <c r="C235">
        <v>7.46</v>
      </c>
      <c r="D235" t="s">
        <v>577</v>
      </c>
      <c r="E235" t="s">
        <v>419</v>
      </c>
      <c r="F235">
        <v>2025</v>
      </c>
      <c r="G235" t="s">
        <v>561</v>
      </c>
    </row>
    <row r="236" spans="1:7">
      <c r="A236" t="s">
        <v>578</v>
      </c>
      <c r="B236">
        <v>78000</v>
      </c>
      <c r="C236">
        <v>6.56</v>
      </c>
      <c r="D236" t="s">
        <v>579</v>
      </c>
      <c r="E236" t="s">
        <v>250</v>
      </c>
      <c r="F236">
        <v>2025</v>
      </c>
      <c r="G236" t="s">
        <v>561</v>
      </c>
    </row>
    <row r="237" spans="1:7">
      <c r="A237" t="s">
        <v>580</v>
      </c>
      <c r="B237">
        <v>76000</v>
      </c>
      <c r="C237">
        <v>7.45</v>
      </c>
      <c r="D237" t="s">
        <v>581</v>
      </c>
      <c r="E237" t="s">
        <v>582</v>
      </c>
      <c r="F237">
        <v>2025</v>
      </c>
      <c r="G237" t="s">
        <v>561</v>
      </c>
    </row>
    <row r="238" spans="1:7">
      <c r="A238" t="s">
        <v>583</v>
      </c>
      <c r="B238">
        <v>61000</v>
      </c>
      <c r="C238">
        <v>8.67</v>
      </c>
      <c r="D238" t="s">
        <v>526</v>
      </c>
      <c r="E238" t="s">
        <v>432</v>
      </c>
      <c r="F238">
        <v>2025</v>
      </c>
      <c r="G238" t="s">
        <v>561</v>
      </c>
    </row>
    <row r="239" spans="1:7">
      <c r="A239" t="s">
        <v>584</v>
      </c>
      <c r="B239">
        <v>5300</v>
      </c>
      <c r="C239">
        <v>5.85</v>
      </c>
      <c r="D239" t="s">
        <v>291</v>
      </c>
      <c r="E239" t="s">
        <v>585</v>
      </c>
      <c r="F239">
        <v>2025</v>
      </c>
      <c r="G239" t="s">
        <v>561</v>
      </c>
    </row>
    <row r="240" spans="1:7">
      <c r="A240" t="s">
        <v>586</v>
      </c>
      <c r="B240">
        <v>911</v>
      </c>
      <c r="C240">
        <v>7.32</v>
      </c>
      <c r="D240" t="s">
        <v>197</v>
      </c>
      <c r="E240" t="s">
        <v>386</v>
      </c>
      <c r="F240">
        <v>2025</v>
      </c>
      <c r="G240" t="s">
        <v>561</v>
      </c>
    </row>
    <row r="241" spans="1:7">
      <c r="A241" t="s">
        <v>587</v>
      </c>
      <c r="B241">
        <v>871</v>
      </c>
      <c r="C241">
        <v>6.84</v>
      </c>
      <c r="D241" t="s">
        <v>197</v>
      </c>
      <c r="E241" t="s">
        <v>588</v>
      </c>
      <c r="F241">
        <v>2025</v>
      </c>
      <c r="G241" t="s">
        <v>561</v>
      </c>
    </row>
    <row r="242" spans="1:7">
      <c r="A242" t="s">
        <v>589</v>
      </c>
      <c r="B242">
        <v>863</v>
      </c>
      <c r="C242">
        <v>6.99</v>
      </c>
      <c r="D242" t="s">
        <v>197</v>
      </c>
      <c r="E242" t="s">
        <v>401</v>
      </c>
      <c r="F242">
        <v>2025</v>
      </c>
      <c r="G242" t="s">
        <v>561</v>
      </c>
    </row>
    <row r="243" spans="1:7">
      <c r="A243" t="s">
        <v>590</v>
      </c>
      <c r="B243">
        <v>756</v>
      </c>
      <c r="C243">
        <v>6.88</v>
      </c>
      <c r="D243" t="s">
        <v>197</v>
      </c>
      <c r="E243" t="s">
        <v>591</v>
      </c>
      <c r="F243">
        <v>2025</v>
      </c>
      <c r="G243" t="s">
        <v>561</v>
      </c>
    </row>
    <row r="244" spans="1:7">
      <c r="A244" t="s">
        <v>592</v>
      </c>
      <c r="B244">
        <v>749</v>
      </c>
      <c r="C244">
        <v>6.24</v>
      </c>
      <c r="D244" t="s">
        <v>593</v>
      </c>
      <c r="E244" t="s">
        <v>312</v>
      </c>
      <c r="F244">
        <v>2025</v>
      </c>
      <c r="G244" t="s">
        <v>561</v>
      </c>
    </row>
    <row r="245" spans="1:7">
      <c r="A245" t="s">
        <v>594</v>
      </c>
      <c r="B245">
        <v>746</v>
      </c>
      <c r="C245">
        <v>6.36</v>
      </c>
      <c r="D245" t="s">
        <v>595</v>
      </c>
      <c r="E245" t="s">
        <v>244</v>
      </c>
      <c r="F245">
        <v>2025</v>
      </c>
      <c r="G245" t="s">
        <v>561</v>
      </c>
    </row>
    <row r="246" spans="1:7">
      <c r="A246" t="s">
        <v>596</v>
      </c>
      <c r="B246">
        <v>451</v>
      </c>
      <c r="C246">
        <v>6.07</v>
      </c>
      <c r="D246" t="s">
        <v>597</v>
      </c>
      <c r="E246" t="s">
        <v>381</v>
      </c>
      <c r="F246">
        <v>2025</v>
      </c>
      <c r="G246" t="s">
        <v>561</v>
      </c>
    </row>
    <row r="247" spans="1:7">
      <c r="A247" t="s">
        <v>598</v>
      </c>
      <c r="B247">
        <v>7700</v>
      </c>
      <c r="C247">
        <v>6.27</v>
      </c>
      <c r="D247" t="s">
        <v>599</v>
      </c>
      <c r="E247" t="s">
        <v>307</v>
      </c>
      <c r="F247">
        <v>2025</v>
      </c>
      <c r="G247" t="s">
        <v>561</v>
      </c>
    </row>
    <row r="248" spans="1:7">
      <c r="A248" t="s">
        <v>600</v>
      </c>
      <c r="B248">
        <v>1100000</v>
      </c>
      <c r="C248">
        <v>8.17</v>
      </c>
      <c r="D248" t="s">
        <v>280</v>
      </c>
      <c r="E248" t="s">
        <v>27</v>
      </c>
      <c r="F248">
        <v>2024</v>
      </c>
      <c r="G248" t="s">
        <v>10</v>
      </c>
    </row>
    <row r="249" spans="1:7">
      <c r="A249" t="s">
        <v>601</v>
      </c>
      <c r="B249">
        <v>574000</v>
      </c>
      <c r="C249">
        <v>8.59</v>
      </c>
      <c r="D249" t="s">
        <v>602</v>
      </c>
      <c r="E249" t="s">
        <v>603</v>
      </c>
      <c r="F249">
        <v>2024</v>
      </c>
      <c r="G249" t="s">
        <v>10</v>
      </c>
    </row>
    <row r="250" spans="1:7">
      <c r="A250" t="s">
        <v>604</v>
      </c>
      <c r="B250">
        <v>523000</v>
      </c>
      <c r="C250">
        <v>7.93</v>
      </c>
      <c r="D250" t="s">
        <v>605</v>
      </c>
      <c r="E250" t="s">
        <v>606</v>
      </c>
      <c r="F250">
        <v>2024</v>
      </c>
      <c r="G250" t="s">
        <v>10</v>
      </c>
    </row>
    <row r="251" spans="1:7">
      <c r="A251" t="s">
        <v>607</v>
      </c>
      <c r="B251">
        <v>504000</v>
      </c>
      <c r="C251">
        <v>7.78</v>
      </c>
      <c r="D251" t="s">
        <v>608</v>
      </c>
      <c r="E251" t="s">
        <v>27</v>
      </c>
      <c r="F251">
        <v>2024</v>
      </c>
      <c r="G251" t="s">
        <v>10</v>
      </c>
    </row>
    <row r="252" spans="1:7">
      <c r="A252" t="s">
        <v>609</v>
      </c>
      <c r="B252">
        <v>342000</v>
      </c>
      <c r="C252">
        <v>8.1999999999999993</v>
      </c>
      <c r="D252" t="s">
        <v>610</v>
      </c>
      <c r="E252" t="s">
        <v>611</v>
      </c>
      <c r="F252">
        <v>2024</v>
      </c>
      <c r="G252" t="s">
        <v>10</v>
      </c>
    </row>
    <row r="253" spans="1:7">
      <c r="A253" t="s">
        <v>612</v>
      </c>
      <c r="B253">
        <v>330000</v>
      </c>
      <c r="C253">
        <v>7.84</v>
      </c>
      <c r="D253" t="s">
        <v>217</v>
      </c>
      <c r="E253" t="s">
        <v>307</v>
      </c>
      <c r="F253">
        <v>2024</v>
      </c>
      <c r="G253" t="s">
        <v>10</v>
      </c>
    </row>
    <row r="254" spans="1:7">
      <c r="A254" t="s">
        <v>613</v>
      </c>
      <c r="B254">
        <v>321000</v>
      </c>
      <c r="C254">
        <v>7.53</v>
      </c>
      <c r="D254" t="s">
        <v>205</v>
      </c>
      <c r="E254" t="s">
        <v>614</v>
      </c>
      <c r="F254">
        <v>2024</v>
      </c>
      <c r="G254" t="s">
        <v>10</v>
      </c>
    </row>
    <row r="255" spans="1:7">
      <c r="A255" t="s">
        <v>615</v>
      </c>
      <c r="B255">
        <v>305000</v>
      </c>
      <c r="C255">
        <v>8.6999999999999993</v>
      </c>
      <c r="D255" t="s">
        <v>616</v>
      </c>
      <c r="E255" t="s">
        <v>241</v>
      </c>
      <c r="F255">
        <v>2024</v>
      </c>
      <c r="G255" t="s">
        <v>10</v>
      </c>
    </row>
    <row r="256" spans="1:7">
      <c r="A256" t="s">
        <v>617</v>
      </c>
      <c r="B256">
        <v>267000</v>
      </c>
      <c r="C256">
        <v>6.87</v>
      </c>
      <c r="D256" t="s">
        <v>618</v>
      </c>
      <c r="E256" t="s">
        <v>619</v>
      </c>
      <c r="F256">
        <v>2024</v>
      </c>
      <c r="G256" t="s">
        <v>10</v>
      </c>
    </row>
    <row r="257" spans="1:7">
      <c r="A257" t="s">
        <v>620</v>
      </c>
      <c r="B257">
        <v>233000</v>
      </c>
      <c r="C257">
        <v>7.53</v>
      </c>
      <c r="D257" t="s">
        <v>45</v>
      </c>
      <c r="E257" t="s">
        <v>621</v>
      </c>
      <c r="F257">
        <v>2024</v>
      </c>
      <c r="G257" t="s">
        <v>10</v>
      </c>
    </row>
    <row r="258" spans="1:7">
      <c r="A258" t="s">
        <v>622</v>
      </c>
      <c r="B258">
        <v>221000</v>
      </c>
      <c r="C258">
        <v>7.05</v>
      </c>
      <c r="D258" t="s">
        <v>309</v>
      </c>
      <c r="E258" t="s">
        <v>623</v>
      </c>
      <c r="F258">
        <v>2024</v>
      </c>
      <c r="G258" t="s">
        <v>10</v>
      </c>
    </row>
    <row r="259" spans="1:7">
      <c r="A259" t="s">
        <v>624</v>
      </c>
      <c r="B259">
        <v>206000</v>
      </c>
      <c r="C259">
        <v>7.14</v>
      </c>
      <c r="D259" t="s">
        <v>625</v>
      </c>
      <c r="E259" t="s">
        <v>626</v>
      </c>
      <c r="F259">
        <v>2024</v>
      </c>
      <c r="G259" t="s">
        <v>10</v>
      </c>
    </row>
    <row r="260" spans="1:7">
      <c r="A260" t="s">
        <v>627</v>
      </c>
      <c r="B260">
        <v>203000</v>
      </c>
      <c r="C260">
        <v>7.61</v>
      </c>
      <c r="D260" t="s">
        <v>628</v>
      </c>
      <c r="E260" t="s">
        <v>319</v>
      </c>
      <c r="F260">
        <v>2024</v>
      </c>
      <c r="G260" t="s">
        <v>10</v>
      </c>
    </row>
    <row r="261" spans="1:7">
      <c r="A261" t="s">
        <v>629</v>
      </c>
      <c r="B261">
        <v>190000</v>
      </c>
      <c r="C261">
        <v>6.36</v>
      </c>
      <c r="D261" t="s">
        <v>630</v>
      </c>
      <c r="E261" t="s">
        <v>86</v>
      </c>
      <c r="F261">
        <v>2024</v>
      </c>
      <c r="G261" t="s">
        <v>10</v>
      </c>
    </row>
    <row r="262" spans="1:7">
      <c r="A262" t="s">
        <v>631</v>
      </c>
      <c r="B262">
        <v>189000</v>
      </c>
      <c r="C262">
        <v>7.46</v>
      </c>
      <c r="D262" t="s">
        <v>632</v>
      </c>
      <c r="E262" t="s">
        <v>61</v>
      </c>
      <c r="F262">
        <v>2024</v>
      </c>
      <c r="G262" t="s">
        <v>10</v>
      </c>
    </row>
    <row r="263" spans="1:7">
      <c r="A263" t="s">
        <v>633</v>
      </c>
      <c r="B263">
        <v>183000</v>
      </c>
      <c r="C263">
        <v>7.12</v>
      </c>
      <c r="D263" t="s">
        <v>634</v>
      </c>
      <c r="E263" t="s">
        <v>171</v>
      </c>
      <c r="F263">
        <v>2024</v>
      </c>
      <c r="G263" t="s">
        <v>10</v>
      </c>
    </row>
    <row r="264" spans="1:7">
      <c r="A264" t="s">
        <v>635</v>
      </c>
      <c r="B264">
        <v>155000</v>
      </c>
      <c r="C264">
        <v>6.76</v>
      </c>
      <c r="D264" t="s">
        <v>528</v>
      </c>
      <c r="E264" t="s">
        <v>273</v>
      </c>
      <c r="F264">
        <v>2024</v>
      </c>
      <c r="G264" t="s">
        <v>10</v>
      </c>
    </row>
    <row r="265" spans="1:7">
      <c r="A265" t="s">
        <v>636</v>
      </c>
      <c r="B265">
        <v>143000</v>
      </c>
      <c r="C265">
        <v>6.07</v>
      </c>
      <c r="D265" t="s">
        <v>637</v>
      </c>
      <c r="E265" t="s">
        <v>467</v>
      </c>
      <c r="F265">
        <v>2024</v>
      </c>
      <c r="G265" t="s">
        <v>10</v>
      </c>
    </row>
    <row r="266" spans="1:7">
      <c r="A266" t="s">
        <v>638</v>
      </c>
      <c r="B266">
        <v>141000</v>
      </c>
      <c r="C266">
        <v>7.57</v>
      </c>
      <c r="D266" t="s">
        <v>639</v>
      </c>
      <c r="E266" t="s">
        <v>640</v>
      </c>
      <c r="F266">
        <v>2024</v>
      </c>
      <c r="G266" t="s">
        <v>10</v>
      </c>
    </row>
    <row r="267" spans="1:7">
      <c r="A267" t="s">
        <v>641</v>
      </c>
      <c r="B267">
        <v>134000</v>
      </c>
      <c r="C267">
        <v>6.74</v>
      </c>
      <c r="D267" t="s">
        <v>642</v>
      </c>
      <c r="E267" t="s">
        <v>643</v>
      </c>
      <c r="F267">
        <v>2024</v>
      </c>
      <c r="G267" t="s">
        <v>10</v>
      </c>
    </row>
    <row r="268" spans="1:7">
      <c r="A268" t="s">
        <v>644</v>
      </c>
      <c r="B268">
        <v>117000</v>
      </c>
      <c r="C268">
        <v>7.27</v>
      </c>
      <c r="D268" t="s">
        <v>645</v>
      </c>
      <c r="E268" t="s">
        <v>121</v>
      </c>
      <c r="F268">
        <v>2024</v>
      </c>
      <c r="G268" t="s">
        <v>10</v>
      </c>
    </row>
    <row r="269" spans="1:7">
      <c r="A269" t="s">
        <v>646</v>
      </c>
      <c r="B269">
        <v>116000</v>
      </c>
      <c r="C269">
        <v>6.21</v>
      </c>
      <c r="D269" t="s">
        <v>543</v>
      </c>
      <c r="E269" t="s">
        <v>647</v>
      </c>
      <c r="F269">
        <v>2024</v>
      </c>
      <c r="G269" t="s">
        <v>10</v>
      </c>
    </row>
    <row r="270" spans="1:7">
      <c r="A270" t="s">
        <v>648</v>
      </c>
      <c r="B270">
        <v>107000</v>
      </c>
      <c r="C270">
        <v>7.25</v>
      </c>
      <c r="D270" t="s">
        <v>649</v>
      </c>
      <c r="E270" t="s">
        <v>650</v>
      </c>
      <c r="F270">
        <v>2024</v>
      </c>
      <c r="G270" t="s">
        <v>10</v>
      </c>
    </row>
    <row r="271" spans="1:7">
      <c r="A271" t="s">
        <v>651</v>
      </c>
      <c r="B271">
        <v>96000</v>
      </c>
      <c r="C271">
        <v>6.79</v>
      </c>
      <c r="D271" t="s">
        <v>456</v>
      </c>
      <c r="E271" t="s">
        <v>83</v>
      </c>
      <c r="F271">
        <v>2024</v>
      </c>
      <c r="G271" t="s">
        <v>10</v>
      </c>
    </row>
    <row r="272" spans="1:7">
      <c r="A272" t="s">
        <v>652</v>
      </c>
      <c r="B272">
        <v>52000</v>
      </c>
      <c r="C272">
        <v>7.11</v>
      </c>
      <c r="D272" t="s">
        <v>653</v>
      </c>
      <c r="E272" t="s">
        <v>654</v>
      </c>
      <c r="F272">
        <v>2024</v>
      </c>
      <c r="G272" t="s">
        <v>10</v>
      </c>
    </row>
    <row r="273" spans="1:7">
      <c r="A273" t="s">
        <v>655</v>
      </c>
      <c r="B273">
        <v>962</v>
      </c>
      <c r="C273">
        <v>6.3</v>
      </c>
      <c r="D273" t="s">
        <v>593</v>
      </c>
      <c r="E273" t="s">
        <v>656</v>
      </c>
      <c r="F273">
        <v>2024</v>
      </c>
      <c r="G273" t="s">
        <v>10</v>
      </c>
    </row>
    <row r="274" spans="1:7">
      <c r="A274" t="s">
        <v>657</v>
      </c>
      <c r="B274">
        <v>1400000</v>
      </c>
      <c r="C274">
        <v>9.27</v>
      </c>
      <c r="D274" t="s">
        <v>658</v>
      </c>
      <c r="E274" t="s">
        <v>9</v>
      </c>
      <c r="F274">
        <v>2024</v>
      </c>
      <c r="G274" t="s">
        <v>10</v>
      </c>
    </row>
    <row r="275" spans="1:7">
      <c r="A275" t="s">
        <v>659</v>
      </c>
      <c r="B275">
        <v>821000</v>
      </c>
      <c r="C275">
        <v>8.85</v>
      </c>
      <c r="D275" t="s">
        <v>284</v>
      </c>
      <c r="E275" t="s">
        <v>285</v>
      </c>
      <c r="F275">
        <v>2024</v>
      </c>
      <c r="G275" t="s">
        <v>10</v>
      </c>
    </row>
    <row r="276" spans="1:7">
      <c r="A276" t="s">
        <v>660</v>
      </c>
      <c r="B276">
        <v>455000</v>
      </c>
      <c r="C276">
        <v>8.1</v>
      </c>
      <c r="D276" t="s">
        <v>353</v>
      </c>
      <c r="E276" t="s">
        <v>354</v>
      </c>
      <c r="F276">
        <v>2024</v>
      </c>
      <c r="G276" t="s">
        <v>10</v>
      </c>
    </row>
    <row r="277" spans="1:7">
      <c r="A277" t="s">
        <v>661</v>
      </c>
      <c r="B277">
        <v>346000</v>
      </c>
      <c r="C277">
        <v>7.74</v>
      </c>
      <c r="D277" t="s">
        <v>662</v>
      </c>
      <c r="E277" t="s">
        <v>24</v>
      </c>
      <c r="F277">
        <v>2024</v>
      </c>
      <c r="G277" t="s">
        <v>10</v>
      </c>
    </row>
    <row r="278" spans="1:7">
      <c r="A278" t="s">
        <v>663</v>
      </c>
      <c r="B278">
        <v>280000</v>
      </c>
      <c r="C278">
        <v>7.55</v>
      </c>
      <c r="D278" t="s">
        <v>422</v>
      </c>
      <c r="E278" t="s">
        <v>110</v>
      </c>
      <c r="F278">
        <v>2024</v>
      </c>
      <c r="G278" t="s">
        <v>10</v>
      </c>
    </row>
    <row r="279" spans="1:7">
      <c r="A279" t="s">
        <v>664</v>
      </c>
      <c r="B279">
        <v>8600</v>
      </c>
      <c r="C279">
        <v>7.1</v>
      </c>
      <c r="D279" t="s">
        <v>665</v>
      </c>
      <c r="E279" t="s">
        <v>666</v>
      </c>
      <c r="F279">
        <v>2024</v>
      </c>
      <c r="G279" t="s">
        <v>10</v>
      </c>
    </row>
    <row r="280" spans="1:7">
      <c r="A280" t="s">
        <v>667</v>
      </c>
      <c r="B280">
        <v>9900</v>
      </c>
      <c r="C280">
        <v>7.97</v>
      </c>
      <c r="D280" t="s">
        <v>668</v>
      </c>
      <c r="E280" t="s">
        <v>203</v>
      </c>
      <c r="F280">
        <v>2024</v>
      </c>
      <c r="G280" t="s">
        <v>10</v>
      </c>
    </row>
    <row r="281" spans="1:7">
      <c r="A281" t="s">
        <v>669</v>
      </c>
      <c r="B281">
        <v>854</v>
      </c>
      <c r="C281">
        <v>6.56</v>
      </c>
      <c r="D281" t="s">
        <v>670</v>
      </c>
      <c r="E281" t="s">
        <v>101</v>
      </c>
      <c r="F281">
        <v>2024</v>
      </c>
      <c r="G281" t="s">
        <v>10</v>
      </c>
    </row>
    <row r="282" spans="1:7">
      <c r="A282" t="s">
        <v>671</v>
      </c>
      <c r="B282">
        <v>831</v>
      </c>
      <c r="C282">
        <v>6.3</v>
      </c>
      <c r="D282" t="s">
        <v>672</v>
      </c>
      <c r="E282" t="s">
        <v>372</v>
      </c>
      <c r="F282">
        <v>2024</v>
      </c>
      <c r="G282" t="s">
        <v>10</v>
      </c>
    </row>
    <row r="283" spans="1:7">
      <c r="A283" t="s">
        <v>673</v>
      </c>
      <c r="B283">
        <v>813</v>
      </c>
      <c r="C283">
        <v>6.33</v>
      </c>
      <c r="D283" t="s">
        <v>674</v>
      </c>
      <c r="E283" t="s">
        <v>675</v>
      </c>
      <c r="F283">
        <v>2024</v>
      </c>
      <c r="G283" t="s">
        <v>10</v>
      </c>
    </row>
    <row r="284" spans="1:7">
      <c r="A284" t="s">
        <v>676</v>
      </c>
      <c r="B284">
        <v>805</v>
      </c>
      <c r="C284">
        <v>6.23</v>
      </c>
      <c r="D284" t="s">
        <v>677</v>
      </c>
      <c r="E284" t="s">
        <v>195</v>
      </c>
      <c r="F284">
        <v>2024</v>
      </c>
      <c r="G284" t="s">
        <v>10</v>
      </c>
    </row>
    <row r="285" spans="1:7">
      <c r="A285" t="s">
        <v>678</v>
      </c>
      <c r="B285">
        <v>775</v>
      </c>
      <c r="C285">
        <v>6.85</v>
      </c>
      <c r="D285" t="s">
        <v>197</v>
      </c>
      <c r="E285" t="s">
        <v>588</v>
      </c>
      <c r="F285">
        <v>2024</v>
      </c>
      <c r="G285" t="s">
        <v>10</v>
      </c>
    </row>
    <row r="286" spans="1:7">
      <c r="A286" t="s">
        <v>679</v>
      </c>
      <c r="B286">
        <v>680</v>
      </c>
      <c r="C286">
        <v>6.61</v>
      </c>
      <c r="D286" t="s">
        <v>680</v>
      </c>
      <c r="E286" t="s">
        <v>681</v>
      </c>
      <c r="F286">
        <v>2024</v>
      </c>
      <c r="G286" t="s">
        <v>10</v>
      </c>
    </row>
    <row r="287" spans="1:7">
      <c r="A287" t="s">
        <v>682</v>
      </c>
      <c r="B287">
        <v>559</v>
      </c>
      <c r="C287">
        <v>5.92</v>
      </c>
      <c r="D287" t="s">
        <v>167</v>
      </c>
      <c r="E287" t="s">
        <v>683</v>
      </c>
      <c r="F287">
        <v>2024</v>
      </c>
      <c r="G287" t="s">
        <v>10</v>
      </c>
    </row>
    <row r="288" spans="1:7">
      <c r="A288" t="s">
        <v>684</v>
      </c>
      <c r="B288">
        <v>493</v>
      </c>
      <c r="C288">
        <v>6.66</v>
      </c>
      <c r="D288" t="s">
        <v>338</v>
      </c>
      <c r="E288" t="s">
        <v>401</v>
      </c>
      <c r="F288">
        <v>2024</v>
      </c>
      <c r="G288" t="s">
        <v>10</v>
      </c>
    </row>
    <row r="289" spans="1:7">
      <c r="A289" t="s">
        <v>685</v>
      </c>
      <c r="B289">
        <v>719</v>
      </c>
      <c r="C289">
        <v>6.12</v>
      </c>
      <c r="D289" t="s">
        <v>57</v>
      </c>
      <c r="E289" t="s">
        <v>139</v>
      </c>
      <c r="F289">
        <v>2024</v>
      </c>
      <c r="G289" t="s">
        <v>10</v>
      </c>
    </row>
    <row r="290" spans="1:7">
      <c r="A290" t="s">
        <v>686</v>
      </c>
      <c r="B290">
        <v>313</v>
      </c>
      <c r="C290">
        <v>6.51</v>
      </c>
      <c r="D290" t="s">
        <v>237</v>
      </c>
      <c r="E290" t="s">
        <v>687</v>
      </c>
      <c r="F290">
        <v>2024</v>
      </c>
      <c r="G290" t="s">
        <v>10</v>
      </c>
    </row>
    <row r="291" spans="1:7">
      <c r="A291" t="s">
        <v>688</v>
      </c>
      <c r="B291">
        <v>833</v>
      </c>
      <c r="C291">
        <v>5.97</v>
      </c>
      <c r="E291" t="s">
        <v>419</v>
      </c>
      <c r="F291">
        <v>2024</v>
      </c>
      <c r="G291" t="s">
        <v>10</v>
      </c>
    </row>
    <row r="292" spans="1:7">
      <c r="A292" t="s">
        <v>689</v>
      </c>
      <c r="B292">
        <v>460</v>
      </c>
      <c r="C292">
        <v>6.35</v>
      </c>
      <c r="D292" t="s">
        <v>690</v>
      </c>
      <c r="E292" t="s">
        <v>691</v>
      </c>
      <c r="F292">
        <v>2024</v>
      </c>
      <c r="G292" t="s">
        <v>10</v>
      </c>
    </row>
    <row r="293" spans="1:7">
      <c r="A293" t="s">
        <v>692</v>
      </c>
      <c r="B293">
        <v>511000</v>
      </c>
      <c r="C293">
        <v>8.52</v>
      </c>
      <c r="D293" t="s">
        <v>20</v>
      </c>
      <c r="E293" t="s">
        <v>21</v>
      </c>
      <c r="F293">
        <v>2024</v>
      </c>
      <c r="G293" t="s">
        <v>420</v>
      </c>
    </row>
    <row r="294" spans="1:7">
      <c r="A294" t="s">
        <v>693</v>
      </c>
      <c r="B294">
        <v>493000</v>
      </c>
      <c r="C294">
        <v>7.54</v>
      </c>
      <c r="D294" t="s">
        <v>268</v>
      </c>
      <c r="E294" t="s">
        <v>21</v>
      </c>
      <c r="F294">
        <v>2024</v>
      </c>
      <c r="G294" t="s">
        <v>420</v>
      </c>
    </row>
    <row r="295" spans="1:7">
      <c r="A295" t="s">
        <v>694</v>
      </c>
      <c r="B295">
        <v>327000</v>
      </c>
      <c r="C295">
        <v>8.08</v>
      </c>
      <c r="D295" t="s">
        <v>268</v>
      </c>
      <c r="E295" t="s">
        <v>27</v>
      </c>
      <c r="F295">
        <v>2024</v>
      </c>
      <c r="G295" t="s">
        <v>420</v>
      </c>
    </row>
    <row r="296" spans="1:7">
      <c r="A296" t="s">
        <v>695</v>
      </c>
      <c r="B296">
        <v>290000</v>
      </c>
      <c r="C296">
        <v>6.66</v>
      </c>
      <c r="D296" t="s">
        <v>696</v>
      </c>
      <c r="E296" t="s">
        <v>697</v>
      </c>
      <c r="F296">
        <v>2024</v>
      </c>
      <c r="G296" t="s">
        <v>420</v>
      </c>
    </row>
    <row r="297" spans="1:7">
      <c r="A297" t="s">
        <v>698</v>
      </c>
      <c r="B297">
        <v>276000</v>
      </c>
      <c r="C297">
        <v>6.95</v>
      </c>
      <c r="D297" t="s">
        <v>699</v>
      </c>
      <c r="E297" t="s">
        <v>191</v>
      </c>
      <c r="F297">
        <v>2024</v>
      </c>
      <c r="G297" t="s">
        <v>420</v>
      </c>
    </row>
    <row r="298" spans="1:7">
      <c r="A298" t="s">
        <v>700</v>
      </c>
      <c r="B298">
        <v>235000</v>
      </c>
      <c r="C298">
        <v>7.25</v>
      </c>
      <c r="D298" t="s">
        <v>701</v>
      </c>
      <c r="E298" t="s">
        <v>702</v>
      </c>
      <c r="F298">
        <v>2024</v>
      </c>
      <c r="G298" t="s">
        <v>420</v>
      </c>
    </row>
    <row r="299" spans="1:7">
      <c r="A299" t="s">
        <v>703</v>
      </c>
      <c r="B299">
        <v>227000</v>
      </c>
      <c r="C299">
        <v>6.47</v>
      </c>
      <c r="D299" t="s">
        <v>568</v>
      </c>
      <c r="E299" t="s">
        <v>619</v>
      </c>
      <c r="F299">
        <v>2024</v>
      </c>
      <c r="G299" t="s">
        <v>420</v>
      </c>
    </row>
    <row r="300" spans="1:7">
      <c r="A300" t="s">
        <v>704</v>
      </c>
      <c r="B300">
        <v>223000</v>
      </c>
      <c r="C300">
        <v>7.82</v>
      </c>
      <c r="D300" t="s">
        <v>309</v>
      </c>
      <c r="E300" t="s">
        <v>705</v>
      </c>
      <c r="F300">
        <v>2024</v>
      </c>
      <c r="G300" t="s">
        <v>420</v>
      </c>
    </row>
    <row r="301" spans="1:7">
      <c r="A301" t="s">
        <v>706</v>
      </c>
      <c r="B301">
        <v>215000</v>
      </c>
      <c r="C301">
        <v>6.87</v>
      </c>
      <c r="D301" t="s">
        <v>17</v>
      </c>
      <c r="E301" t="s">
        <v>104</v>
      </c>
      <c r="F301">
        <v>2024</v>
      </c>
      <c r="G301" t="s">
        <v>420</v>
      </c>
    </row>
    <row r="302" spans="1:7">
      <c r="A302" t="s">
        <v>707</v>
      </c>
      <c r="B302">
        <v>159000</v>
      </c>
      <c r="C302">
        <v>7.41</v>
      </c>
      <c r="D302" t="s">
        <v>708</v>
      </c>
      <c r="E302" t="s">
        <v>307</v>
      </c>
      <c r="F302">
        <v>2024</v>
      </c>
      <c r="G302" t="s">
        <v>420</v>
      </c>
    </row>
    <row r="303" spans="1:7">
      <c r="A303" t="s">
        <v>709</v>
      </c>
      <c r="B303">
        <v>139000</v>
      </c>
      <c r="C303">
        <v>6.23</v>
      </c>
      <c r="D303" t="s">
        <v>338</v>
      </c>
      <c r="E303" t="s">
        <v>70</v>
      </c>
      <c r="F303">
        <v>2024</v>
      </c>
      <c r="G303" t="s">
        <v>420</v>
      </c>
    </row>
    <row r="304" spans="1:7">
      <c r="A304" t="s">
        <v>710</v>
      </c>
      <c r="B304">
        <v>471000</v>
      </c>
      <c r="C304">
        <v>8.1300000000000008</v>
      </c>
      <c r="D304" t="s">
        <v>566</v>
      </c>
      <c r="E304" t="s">
        <v>647</v>
      </c>
      <c r="F304">
        <v>2024</v>
      </c>
      <c r="G304" t="s">
        <v>420</v>
      </c>
    </row>
    <row r="305" spans="1:7">
      <c r="A305" t="s">
        <v>711</v>
      </c>
      <c r="B305">
        <v>470000</v>
      </c>
      <c r="C305">
        <v>7.7</v>
      </c>
      <c r="D305" t="s">
        <v>255</v>
      </c>
      <c r="E305" t="s">
        <v>256</v>
      </c>
      <c r="F305">
        <v>2024</v>
      </c>
      <c r="G305" t="s">
        <v>420</v>
      </c>
    </row>
    <row r="306" spans="1:7">
      <c r="A306" t="s">
        <v>712</v>
      </c>
      <c r="B306">
        <v>260000</v>
      </c>
      <c r="C306">
        <v>8.1199999999999992</v>
      </c>
      <c r="D306" t="s">
        <v>713</v>
      </c>
      <c r="E306" t="s">
        <v>643</v>
      </c>
      <c r="F306">
        <v>2024</v>
      </c>
      <c r="G306" t="s">
        <v>420</v>
      </c>
    </row>
    <row r="307" spans="1:7">
      <c r="A307" t="s">
        <v>714</v>
      </c>
      <c r="B307">
        <v>981</v>
      </c>
      <c r="C307">
        <v>6.56</v>
      </c>
      <c r="D307" t="s">
        <v>715</v>
      </c>
      <c r="E307" t="s">
        <v>716</v>
      </c>
      <c r="F307">
        <v>2024</v>
      </c>
      <c r="G307" t="s">
        <v>420</v>
      </c>
    </row>
    <row r="308" spans="1:7">
      <c r="A308" t="s">
        <v>717</v>
      </c>
      <c r="B308">
        <v>940</v>
      </c>
      <c r="C308">
        <v>7.83</v>
      </c>
      <c r="D308" t="s">
        <v>406</v>
      </c>
      <c r="E308" t="s">
        <v>718</v>
      </c>
      <c r="F308">
        <v>2024</v>
      </c>
      <c r="G308" t="s">
        <v>420</v>
      </c>
    </row>
    <row r="309" spans="1:7">
      <c r="A309" t="s">
        <v>719</v>
      </c>
      <c r="B309">
        <v>884</v>
      </c>
      <c r="C309">
        <v>5.85</v>
      </c>
      <c r="D309" t="s">
        <v>720</v>
      </c>
      <c r="E309" t="s">
        <v>381</v>
      </c>
      <c r="F309">
        <v>2024</v>
      </c>
      <c r="G309" t="s">
        <v>420</v>
      </c>
    </row>
    <row r="310" spans="1:7">
      <c r="A310" t="s">
        <v>721</v>
      </c>
      <c r="B310">
        <v>878</v>
      </c>
      <c r="C310">
        <v>6.87</v>
      </c>
      <c r="D310" t="s">
        <v>48</v>
      </c>
      <c r="E310" t="s">
        <v>212</v>
      </c>
      <c r="F310">
        <v>2024</v>
      </c>
      <c r="G310" t="s">
        <v>420</v>
      </c>
    </row>
    <row r="311" spans="1:7">
      <c r="A311" t="s">
        <v>722</v>
      </c>
      <c r="B311">
        <v>874</v>
      </c>
      <c r="C311">
        <v>7.24</v>
      </c>
      <c r="D311" t="s">
        <v>723</v>
      </c>
      <c r="E311" t="s">
        <v>724</v>
      </c>
      <c r="F311">
        <v>2024</v>
      </c>
      <c r="G311" t="s">
        <v>420</v>
      </c>
    </row>
    <row r="312" spans="1:7">
      <c r="A312" t="s">
        <v>725</v>
      </c>
      <c r="B312">
        <v>811</v>
      </c>
      <c r="C312">
        <v>7.32</v>
      </c>
      <c r="D312" t="s">
        <v>726</v>
      </c>
      <c r="E312" t="s">
        <v>727</v>
      </c>
      <c r="F312">
        <v>2024</v>
      </c>
      <c r="G312" t="s">
        <v>420</v>
      </c>
    </row>
    <row r="313" spans="1:7">
      <c r="A313" t="s">
        <v>728</v>
      </c>
      <c r="B313">
        <v>802</v>
      </c>
      <c r="C313">
        <v>6.84</v>
      </c>
      <c r="D313" t="s">
        <v>361</v>
      </c>
      <c r="E313" t="s">
        <v>727</v>
      </c>
      <c r="F313">
        <v>2024</v>
      </c>
      <c r="G313" t="s">
        <v>420</v>
      </c>
    </row>
    <row r="314" spans="1:7">
      <c r="A314" t="s">
        <v>729</v>
      </c>
      <c r="B314">
        <v>753</v>
      </c>
      <c r="C314">
        <v>7.51</v>
      </c>
      <c r="D314" t="s">
        <v>197</v>
      </c>
      <c r="E314" t="s">
        <v>195</v>
      </c>
      <c r="F314">
        <v>2024</v>
      </c>
      <c r="G314" t="s">
        <v>420</v>
      </c>
    </row>
    <row r="315" spans="1:7">
      <c r="A315" t="s">
        <v>730</v>
      </c>
      <c r="B315">
        <v>742</v>
      </c>
      <c r="C315">
        <v>6.56</v>
      </c>
      <c r="D315" t="s">
        <v>731</v>
      </c>
      <c r="E315" t="s">
        <v>732</v>
      </c>
      <c r="F315">
        <v>2024</v>
      </c>
      <c r="G315" t="s">
        <v>420</v>
      </c>
    </row>
    <row r="316" spans="1:7">
      <c r="A316" t="s">
        <v>733</v>
      </c>
      <c r="B316">
        <v>702</v>
      </c>
      <c r="C316">
        <v>6.76</v>
      </c>
      <c r="D316" t="s">
        <v>197</v>
      </c>
      <c r="E316" t="s">
        <v>212</v>
      </c>
      <c r="F316">
        <v>2024</v>
      </c>
      <c r="G316" t="s">
        <v>420</v>
      </c>
    </row>
    <row r="317" spans="1:7">
      <c r="A317" t="s">
        <v>734</v>
      </c>
      <c r="B317">
        <v>578</v>
      </c>
      <c r="C317">
        <v>6.71</v>
      </c>
      <c r="D317" t="s">
        <v>197</v>
      </c>
      <c r="E317" t="s">
        <v>591</v>
      </c>
      <c r="F317">
        <v>2024</v>
      </c>
      <c r="G317" t="s">
        <v>420</v>
      </c>
    </row>
    <row r="318" spans="1:7">
      <c r="A318" t="s">
        <v>735</v>
      </c>
      <c r="B318">
        <v>480</v>
      </c>
      <c r="C318">
        <v>5.9</v>
      </c>
      <c r="D318" t="s">
        <v>736</v>
      </c>
      <c r="E318" t="s">
        <v>737</v>
      </c>
      <c r="F318">
        <v>2024</v>
      </c>
      <c r="G318" t="s">
        <v>420</v>
      </c>
    </row>
    <row r="319" spans="1:7">
      <c r="A319" t="s">
        <v>738</v>
      </c>
      <c r="B319">
        <v>393</v>
      </c>
      <c r="C319">
        <v>6.2</v>
      </c>
      <c r="D319" t="s">
        <v>231</v>
      </c>
      <c r="E319" t="s">
        <v>739</v>
      </c>
      <c r="F319">
        <v>2024</v>
      </c>
      <c r="G319" t="s">
        <v>420</v>
      </c>
    </row>
    <row r="320" spans="1:7">
      <c r="A320" t="s">
        <v>740</v>
      </c>
      <c r="B320">
        <v>943</v>
      </c>
      <c r="C320">
        <v>6.67</v>
      </c>
      <c r="D320" t="s">
        <v>741</v>
      </c>
      <c r="E320" t="s">
        <v>742</v>
      </c>
      <c r="F320">
        <v>2024</v>
      </c>
      <c r="G320" t="s">
        <v>420</v>
      </c>
    </row>
    <row r="321" spans="1:7">
      <c r="A321" t="s">
        <v>743</v>
      </c>
      <c r="B321">
        <v>762000</v>
      </c>
      <c r="C321">
        <v>8.02</v>
      </c>
      <c r="D321" t="s">
        <v>744</v>
      </c>
      <c r="E321" t="s">
        <v>498</v>
      </c>
      <c r="F321">
        <v>2024</v>
      </c>
      <c r="G321" t="s">
        <v>257</v>
      </c>
    </row>
    <row r="322" spans="1:7">
      <c r="A322" t="s">
        <v>745</v>
      </c>
      <c r="B322">
        <v>719000</v>
      </c>
      <c r="C322">
        <v>8.2200000000000006</v>
      </c>
      <c r="D322" t="s">
        <v>428</v>
      </c>
      <c r="E322" t="s">
        <v>429</v>
      </c>
      <c r="F322">
        <v>2024</v>
      </c>
      <c r="G322" t="s">
        <v>257</v>
      </c>
    </row>
    <row r="323" spans="1:7">
      <c r="A323" t="s">
        <v>746</v>
      </c>
      <c r="B323">
        <v>564000</v>
      </c>
      <c r="C323">
        <v>8.39</v>
      </c>
      <c r="D323" t="s">
        <v>747</v>
      </c>
      <c r="E323" t="s">
        <v>748</v>
      </c>
      <c r="F323">
        <v>2024</v>
      </c>
      <c r="G323" t="s">
        <v>257</v>
      </c>
    </row>
    <row r="324" spans="1:7">
      <c r="A324" t="s">
        <v>749</v>
      </c>
      <c r="B324">
        <v>545000</v>
      </c>
      <c r="C324">
        <v>8.34</v>
      </c>
      <c r="D324" t="s">
        <v>701</v>
      </c>
      <c r="E324" t="s">
        <v>365</v>
      </c>
      <c r="F324">
        <v>2024</v>
      </c>
      <c r="G324" t="s">
        <v>257</v>
      </c>
    </row>
    <row r="325" spans="1:7">
      <c r="A325" t="s">
        <v>750</v>
      </c>
      <c r="B325">
        <v>457000</v>
      </c>
      <c r="C325">
        <v>7.71</v>
      </c>
      <c r="D325" t="s">
        <v>513</v>
      </c>
      <c r="E325" t="s">
        <v>300</v>
      </c>
      <c r="F325">
        <v>2024</v>
      </c>
      <c r="G325" t="s">
        <v>257</v>
      </c>
    </row>
    <row r="326" spans="1:7">
      <c r="A326" t="s">
        <v>751</v>
      </c>
      <c r="B326">
        <v>262000</v>
      </c>
      <c r="C326">
        <v>7.41</v>
      </c>
      <c r="D326" t="s">
        <v>453</v>
      </c>
      <c r="E326" t="s">
        <v>454</v>
      </c>
      <c r="F326">
        <v>2024</v>
      </c>
      <c r="G326" t="s">
        <v>257</v>
      </c>
    </row>
    <row r="327" spans="1:7">
      <c r="A327" t="s">
        <v>752</v>
      </c>
      <c r="B327">
        <v>249000</v>
      </c>
      <c r="C327">
        <v>6.82</v>
      </c>
      <c r="D327" t="s">
        <v>753</v>
      </c>
      <c r="E327" t="s">
        <v>307</v>
      </c>
      <c r="F327">
        <v>2024</v>
      </c>
      <c r="G327" t="s">
        <v>257</v>
      </c>
    </row>
    <row r="328" spans="1:7">
      <c r="A328" t="s">
        <v>754</v>
      </c>
      <c r="B328">
        <v>207000</v>
      </c>
      <c r="C328">
        <v>6.48</v>
      </c>
      <c r="D328" t="s">
        <v>755</v>
      </c>
      <c r="E328" t="s">
        <v>110</v>
      </c>
      <c r="F328">
        <v>2024</v>
      </c>
      <c r="G328" t="s">
        <v>257</v>
      </c>
    </row>
    <row r="329" spans="1:7">
      <c r="A329" t="s">
        <v>756</v>
      </c>
      <c r="B329">
        <v>193000</v>
      </c>
      <c r="C329">
        <v>7.16</v>
      </c>
      <c r="D329" t="s">
        <v>456</v>
      </c>
      <c r="E329" t="s">
        <v>244</v>
      </c>
      <c r="F329">
        <v>2024</v>
      </c>
      <c r="G329" t="s">
        <v>257</v>
      </c>
    </row>
    <row r="330" spans="1:7">
      <c r="A330" t="s">
        <v>757</v>
      </c>
      <c r="B330">
        <v>186000</v>
      </c>
      <c r="C330">
        <v>6.54</v>
      </c>
      <c r="D330" t="s">
        <v>758</v>
      </c>
      <c r="E330" t="s">
        <v>35</v>
      </c>
      <c r="F330">
        <v>2024</v>
      </c>
      <c r="G330" t="s">
        <v>257</v>
      </c>
    </row>
    <row r="331" spans="1:7">
      <c r="A331" t="s">
        <v>759</v>
      </c>
      <c r="B331">
        <v>150000</v>
      </c>
      <c r="C331">
        <v>7.45</v>
      </c>
      <c r="D331" t="s">
        <v>760</v>
      </c>
      <c r="E331" t="s">
        <v>41</v>
      </c>
      <c r="F331">
        <v>2024</v>
      </c>
      <c r="G331" t="s">
        <v>257</v>
      </c>
    </row>
    <row r="332" spans="1:7">
      <c r="A332" t="s">
        <v>761</v>
      </c>
      <c r="B332">
        <v>133000</v>
      </c>
      <c r="C332">
        <v>7.75</v>
      </c>
      <c r="D332" t="s">
        <v>762</v>
      </c>
      <c r="E332" t="s">
        <v>21</v>
      </c>
      <c r="F332">
        <v>2024</v>
      </c>
      <c r="G332" t="s">
        <v>257</v>
      </c>
    </row>
    <row r="333" spans="1:7">
      <c r="A333" t="s">
        <v>763</v>
      </c>
      <c r="B333">
        <v>103000</v>
      </c>
      <c r="C333">
        <v>6.27</v>
      </c>
      <c r="D333" t="s">
        <v>764</v>
      </c>
      <c r="E333" t="s">
        <v>159</v>
      </c>
      <c r="F333">
        <v>2024</v>
      </c>
      <c r="G333" t="s">
        <v>257</v>
      </c>
    </row>
    <row r="334" spans="1:7">
      <c r="A334" t="s">
        <v>765</v>
      </c>
      <c r="B334">
        <v>95000</v>
      </c>
      <c r="C334">
        <v>7.32</v>
      </c>
      <c r="D334" t="s">
        <v>766</v>
      </c>
      <c r="E334" t="s">
        <v>86</v>
      </c>
      <c r="F334">
        <v>2024</v>
      </c>
      <c r="G334" t="s">
        <v>257</v>
      </c>
    </row>
    <row r="335" spans="1:7">
      <c r="A335" t="s">
        <v>767</v>
      </c>
      <c r="B335">
        <v>832</v>
      </c>
      <c r="C335">
        <v>6.09</v>
      </c>
      <c r="D335" t="s">
        <v>167</v>
      </c>
      <c r="E335" t="s">
        <v>165</v>
      </c>
      <c r="F335">
        <v>2024</v>
      </c>
      <c r="G335" t="s">
        <v>257</v>
      </c>
    </row>
    <row r="336" spans="1:7">
      <c r="A336" t="s">
        <v>768</v>
      </c>
      <c r="B336">
        <v>612</v>
      </c>
      <c r="C336">
        <v>5.58</v>
      </c>
      <c r="D336" t="s">
        <v>167</v>
      </c>
      <c r="E336" t="s">
        <v>769</v>
      </c>
      <c r="F336">
        <v>2024</v>
      </c>
      <c r="G336" t="s">
        <v>257</v>
      </c>
    </row>
    <row r="337" spans="1:7">
      <c r="A337" t="s">
        <v>770</v>
      </c>
      <c r="B337">
        <v>986</v>
      </c>
      <c r="C337">
        <v>7.89</v>
      </c>
      <c r="D337" t="s">
        <v>406</v>
      </c>
      <c r="E337" t="s">
        <v>718</v>
      </c>
      <c r="F337">
        <v>2024</v>
      </c>
      <c r="G337" t="s">
        <v>257</v>
      </c>
    </row>
    <row r="338" spans="1:7">
      <c r="A338" t="s">
        <v>771</v>
      </c>
      <c r="B338">
        <v>982</v>
      </c>
      <c r="C338">
        <v>7.15</v>
      </c>
      <c r="D338" t="s">
        <v>60</v>
      </c>
      <c r="E338" t="s">
        <v>392</v>
      </c>
      <c r="F338">
        <v>2024</v>
      </c>
      <c r="G338" t="s">
        <v>257</v>
      </c>
    </row>
    <row r="339" spans="1:7">
      <c r="A339" t="s">
        <v>772</v>
      </c>
      <c r="B339">
        <v>917</v>
      </c>
      <c r="C339">
        <v>7.29</v>
      </c>
      <c r="D339" t="s">
        <v>448</v>
      </c>
      <c r="E339" t="s">
        <v>773</v>
      </c>
      <c r="F339">
        <v>2024</v>
      </c>
      <c r="G339" t="s">
        <v>257</v>
      </c>
    </row>
    <row r="340" spans="1:7">
      <c r="A340" t="s">
        <v>774</v>
      </c>
      <c r="B340">
        <v>794</v>
      </c>
      <c r="C340">
        <v>6.64</v>
      </c>
      <c r="D340" t="s">
        <v>197</v>
      </c>
      <c r="E340" t="s">
        <v>591</v>
      </c>
      <c r="F340">
        <v>2024</v>
      </c>
      <c r="G340" t="s">
        <v>257</v>
      </c>
    </row>
    <row r="341" spans="1:7">
      <c r="A341" t="s">
        <v>775</v>
      </c>
      <c r="B341">
        <v>751</v>
      </c>
      <c r="C341">
        <v>6.42</v>
      </c>
      <c r="D341" t="s">
        <v>776</v>
      </c>
      <c r="E341" t="s">
        <v>777</v>
      </c>
      <c r="F341">
        <v>2024</v>
      </c>
      <c r="G341" t="s">
        <v>257</v>
      </c>
    </row>
    <row r="342" spans="1:7">
      <c r="A342" t="s">
        <v>778</v>
      </c>
      <c r="B342">
        <v>693</v>
      </c>
      <c r="C342">
        <v>6.31</v>
      </c>
      <c r="D342" t="s">
        <v>543</v>
      </c>
      <c r="E342" t="s">
        <v>200</v>
      </c>
      <c r="F342">
        <v>2024</v>
      </c>
      <c r="G342" t="s">
        <v>257</v>
      </c>
    </row>
    <row r="343" spans="1:7">
      <c r="A343" t="s">
        <v>779</v>
      </c>
      <c r="B343">
        <v>671</v>
      </c>
      <c r="C343">
        <v>6.85</v>
      </c>
      <c r="D343" t="s">
        <v>731</v>
      </c>
      <c r="E343" t="s">
        <v>591</v>
      </c>
      <c r="F343">
        <v>2024</v>
      </c>
      <c r="G343" t="s">
        <v>257</v>
      </c>
    </row>
    <row r="344" spans="1:7">
      <c r="A344" t="s">
        <v>780</v>
      </c>
      <c r="B344">
        <v>610</v>
      </c>
      <c r="C344">
        <v>6.72</v>
      </c>
      <c r="D344" t="s">
        <v>781</v>
      </c>
      <c r="E344" t="s">
        <v>591</v>
      </c>
      <c r="F344">
        <v>2024</v>
      </c>
      <c r="G344" t="s">
        <v>257</v>
      </c>
    </row>
    <row r="345" spans="1:7">
      <c r="A345" t="s">
        <v>782</v>
      </c>
      <c r="B345">
        <v>440</v>
      </c>
      <c r="C345">
        <v>5.78</v>
      </c>
      <c r="D345" t="s">
        <v>783</v>
      </c>
      <c r="E345" t="s">
        <v>381</v>
      </c>
      <c r="F345">
        <v>2024</v>
      </c>
      <c r="G345" t="s">
        <v>257</v>
      </c>
    </row>
    <row r="346" spans="1:7">
      <c r="A346" t="s">
        <v>784</v>
      </c>
      <c r="B346">
        <v>428</v>
      </c>
      <c r="C346">
        <v>6.08</v>
      </c>
      <c r="D346" t="s">
        <v>785</v>
      </c>
      <c r="E346" t="s">
        <v>786</v>
      </c>
      <c r="F346">
        <v>2024</v>
      </c>
      <c r="G346" t="s">
        <v>257</v>
      </c>
    </row>
    <row r="347" spans="1:7">
      <c r="A347" t="s">
        <v>787</v>
      </c>
      <c r="B347">
        <v>312</v>
      </c>
      <c r="C347">
        <v>6.65</v>
      </c>
      <c r="D347" t="s">
        <v>788</v>
      </c>
      <c r="E347" t="s">
        <v>789</v>
      </c>
      <c r="F347">
        <v>2024</v>
      </c>
      <c r="G347" t="s">
        <v>257</v>
      </c>
    </row>
    <row r="348" spans="1:7">
      <c r="A348" t="s">
        <v>790</v>
      </c>
      <c r="B348">
        <v>238000</v>
      </c>
      <c r="C348">
        <v>8.6199999999999992</v>
      </c>
      <c r="D348" t="s">
        <v>791</v>
      </c>
      <c r="E348" t="s">
        <v>408</v>
      </c>
      <c r="F348">
        <v>2024</v>
      </c>
      <c r="G348" t="s">
        <v>257</v>
      </c>
    </row>
    <row r="349" spans="1:7">
      <c r="A349" t="s">
        <v>792</v>
      </c>
      <c r="B349">
        <v>750</v>
      </c>
      <c r="C349">
        <v>6.91</v>
      </c>
      <c r="D349" t="s">
        <v>237</v>
      </c>
      <c r="E349" t="s">
        <v>793</v>
      </c>
      <c r="F349">
        <v>2024</v>
      </c>
      <c r="G349" t="s">
        <v>257</v>
      </c>
    </row>
    <row r="350" spans="1:7">
      <c r="A350" t="s">
        <v>794</v>
      </c>
      <c r="B350">
        <v>464</v>
      </c>
      <c r="C350">
        <v>6.02</v>
      </c>
      <c r="D350" t="s">
        <v>795</v>
      </c>
      <c r="E350" t="s">
        <v>796</v>
      </c>
      <c r="F350">
        <v>2024</v>
      </c>
      <c r="G350" t="s">
        <v>257</v>
      </c>
    </row>
    <row r="351" spans="1:7">
      <c r="A351" t="s">
        <v>797</v>
      </c>
      <c r="B351">
        <v>445</v>
      </c>
      <c r="C351">
        <v>5.84</v>
      </c>
      <c r="D351" t="s">
        <v>795</v>
      </c>
      <c r="E351" t="s">
        <v>796</v>
      </c>
      <c r="F351">
        <v>2024</v>
      </c>
      <c r="G351" t="s">
        <v>257</v>
      </c>
    </row>
    <row r="352" spans="1:7">
      <c r="A352" t="s">
        <v>798</v>
      </c>
      <c r="B352">
        <v>953000</v>
      </c>
      <c r="C352">
        <v>8.42</v>
      </c>
      <c r="D352" t="s">
        <v>418</v>
      </c>
      <c r="E352" t="s">
        <v>419</v>
      </c>
      <c r="F352">
        <v>2024</v>
      </c>
      <c r="G352" t="s">
        <v>561</v>
      </c>
    </row>
    <row r="353" spans="1:7">
      <c r="A353" t="s">
        <v>799</v>
      </c>
      <c r="B353">
        <v>291000</v>
      </c>
      <c r="C353">
        <v>8.67</v>
      </c>
      <c r="D353" t="s">
        <v>800</v>
      </c>
      <c r="E353" t="s">
        <v>801</v>
      </c>
      <c r="F353">
        <v>2024</v>
      </c>
      <c r="G353" t="s">
        <v>561</v>
      </c>
    </row>
    <row r="354" spans="1:7">
      <c r="A354" t="s">
        <v>802</v>
      </c>
      <c r="B354">
        <v>244000</v>
      </c>
      <c r="C354">
        <v>5.67</v>
      </c>
      <c r="D354" t="s">
        <v>803</v>
      </c>
      <c r="E354" t="s">
        <v>804</v>
      </c>
      <c r="F354">
        <v>2024</v>
      </c>
      <c r="G354" t="s">
        <v>561</v>
      </c>
    </row>
    <row r="355" spans="1:7">
      <c r="A355" t="s">
        <v>805</v>
      </c>
      <c r="B355">
        <v>198000</v>
      </c>
      <c r="C355">
        <v>6.87</v>
      </c>
      <c r="D355" t="s">
        <v>806</v>
      </c>
      <c r="E355" t="s">
        <v>150</v>
      </c>
      <c r="F355">
        <v>2024</v>
      </c>
      <c r="G355" t="s">
        <v>561</v>
      </c>
    </row>
    <row r="356" spans="1:7">
      <c r="A356" t="s">
        <v>807</v>
      </c>
      <c r="B356">
        <v>167000</v>
      </c>
      <c r="C356">
        <v>7.98</v>
      </c>
      <c r="D356" t="s">
        <v>808</v>
      </c>
      <c r="E356" t="s">
        <v>13</v>
      </c>
      <c r="F356">
        <v>2024</v>
      </c>
      <c r="G356" t="s">
        <v>561</v>
      </c>
    </row>
    <row r="357" spans="1:7">
      <c r="A357" t="s">
        <v>809</v>
      </c>
      <c r="B357">
        <v>165000</v>
      </c>
      <c r="C357">
        <v>7.07</v>
      </c>
      <c r="D357" t="s">
        <v>17</v>
      </c>
      <c r="E357" t="s">
        <v>810</v>
      </c>
      <c r="F357">
        <v>2024</v>
      </c>
      <c r="G357" t="s">
        <v>561</v>
      </c>
    </row>
    <row r="358" spans="1:7">
      <c r="A358" t="s">
        <v>811</v>
      </c>
      <c r="B358">
        <v>153000</v>
      </c>
      <c r="C358">
        <v>7.18</v>
      </c>
      <c r="D358" t="s">
        <v>812</v>
      </c>
      <c r="E358" t="s">
        <v>35</v>
      </c>
      <c r="F358">
        <v>2024</v>
      </c>
      <c r="G358" t="s">
        <v>561</v>
      </c>
    </row>
    <row r="359" spans="1:7">
      <c r="A359" t="s">
        <v>813</v>
      </c>
      <c r="B359">
        <v>138000</v>
      </c>
      <c r="C359">
        <v>6.88</v>
      </c>
      <c r="D359" t="s">
        <v>696</v>
      </c>
      <c r="E359" t="s">
        <v>697</v>
      </c>
      <c r="F359">
        <v>2024</v>
      </c>
      <c r="G359" t="s">
        <v>561</v>
      </c>
    </row>
    <row r="360" spans="1:7">
      <c r="A360" t="s">
        <v>814</v>
      </c>
      <c r="B360">
        <v>122000</v>
      </c>
      <c r="C360">
        <v>7.12</v>
      </c>
      <c r="D360" t="s">
        <v>815</v>
      </c>
      <c r="E360" t="s">
        <v>67</v>
      </c>
      <c r="F360">
        <v>2024</v>
      </c>
      <c r="G360" t="s">
        <v>561</v>
      </c>
    </row>
    <row r="361" spans="1:7">
      <c r="A361" t="s">
        <v>816</v>
      </c>
      <c r="B361">
        <v>8700</v>
      </c>
      <c r="C361">
        <v>6.22</v>
      </c>
      <c r="D361" t="s">
        <v>34</v>
      </c>
      <c r="E361" t="s">
        <v>817</v>
      </c>
      <c r="F361">
        <v>2024</v>
      </c>
      <c r="G361" t="s">
        <v>561</v>
      </c>
    </row>
    <row r="362" spans="1:7">
      <c r="A362" t="s">
        <v>818</v>
      </c>
      <c r="B362">
        <v>848</v>
      </c>
      <c r="C362">
        <v>7.11</v>
      </c>
      <c r="D362" t="s">
        <v>197</v>
      </c>
      <c r="E362" t="s">
        <v>401</v>
      </c>
      <c r="F362">
        <v>2024</v>
      </c>
      <c r="G362" t="s">
        <v>561</v>
      </c>
    </row>
    <row r="363" spans="1:7">
      <c r="A363" t="s">
        <v>819</v>
      </c>
      <c r="B363">
        <v>804</v>
      </c>
      <c r="C363">
        <v>6.72</v>
      </c>
      <c r="D363" t="s">
        <v>820</v>
      </c>
      <c r="E363" t="s">
        <v>591</v>
      </c>
      <c r="F363">
        <v>2024</v>
      </c>
      <c r="G363" t="s">
        <v>561</v>
      </c>
    </row>
    <row r="364" spans="1:7">
      <c r="A364" t="s">
        <v>821</v>
      </c>
      <c r="B364">
        <v>786</v>
      </c>
      <c r="C364">
        <v>6.79</v>
      </c>
      <c r="D364" t="s">
        <v>822</v>
      </c>
      <c r="E364" t="s">
        <v>212</v>
      </c>
      <c r="F364">
        <v>2024</v>
      </c>
      <c r="G364" t="s">
        <v>561</v>
      </c>
    </row>
    <row r="365" spans="1:7">
      <c r="A365" t="s">
        <v>823</v>
      </c>
      <c r="B365">
        <v>768</v>
      </c>
      <c r="C365">
        <v>6.91</v>
      </c>
      <c r="D365" t="s">
        <v>197</v>
      </c>
      <c r="E365" t="s">
        <v>824</v>
      </c>
      <c r="F365">
        <v>2024</v>
      </c>
      <c r="G365" t="s">
        <v>561</v>
      </c>
    </row>
    <row r="366" spans="1:7">
      <c r="A366" t="s">
        <v>825</v>
      </c>
      <c r="B366">
        <v>696</v>
      </c>
      <c r="C366">
        <v>7.21</v>
      </c>
      <c r="D366" t="s">
        <v>197</v>
      </c>
      <c r="E366" t="s">
        <v>200</v>
      </c>
      <c r="F366">
        <v>2024</v>
      </c>
      <c r="G366" t="s">
        <v>561</v>
      </c>
    </row>
    <row r="367" spans="1:7">
      <c r="A367" t="s">
        <v>826</v>
      </c>
      <c r="B367">
        <v>655</v>
      </c>
      <c r="C367">
        <v>5.58</v>
      </c>
      <c r="D367" t="s">
        <v>406</v>
      </c>
      <c r="E367" t="s">
        <v>381</v>
      </c>
      <c r="F367">
        <v>2024</v>
      </c>
      <c r="G367" t="s">
        <v>561</v>
      </c>
    </row>
    <row r="368" spans="1:7">
      <c r="A368" t="s">
        <v>827</v>
      </c>
      <c r="B368">
        <v>644</v>
      </c>
      <c r="C368">
        <v>6.92</v>
      </c>
      <c r="D368" t="s">
        <v>197</v>
      </c>
      <c r="E368" t="s">
        <v>828</v>
      </c>
      <c r="F368">
        <v>2024</v>
      </c>
      <c r="G368" t="s">
        <v>561</v>
      </c>
    </row>
    <row r="369" spans="1:7">
      <c r="A369" t="s">
        <v>829</v>
      </c>
      <c r="B369">
        <v>552</v>
      </c>
      <c r="C369">
        <v>6.8</v>
      </c>
      <c r="D369" t="s">
        <v>830</v>
      </c>
      <c r="E369" t="s">
        <v>401</v>
      </c>
      <c r="F369">
        <v>2024</v>
      </c>
      <c r="G369" t="s">
        <v>561</v>
      </c>
    </row>
    <row r="370" spans="1:7">
      <c r="A370" t="s">
        <v>831</v>
      </c>
      <c r="B370">
        <v>834</v>
      </c>
      <c r="C370">
        <v>6.79</v>
      </c>
      <c r="D370" t="s">
        <v>832</v>
      </c>
      <c r="E370" t="s">
        <v>611</v>
      </c>
      <c r="F370">
        <v>2024</v>
      </c>
      <c r="G370" t="s">
        <v>561</v>
      </c>
    </row>
    <row r="371" spans="1:7">
      <c r="A371" t="s">
        <v>833</v>
      </c>
      <c r="B371">
        <v>585</v>
      </c>
      <c r="C371">
        <v>6.05</v>
      </c>
      <c r="D371" t="s">
        <v>343</v>
      </c>
      <c r="E371" t="s">
        <v>124</v>
      </c>
      <c r="F371">
        <v>2024</v>
      </c>
      <c r="G371" t="s">
        <v>561</v>
      </c>
    </row>
    <row r="372" spans="1:7">
      <c r="A372" t="s">
        <v>834</v>
      </c>
      <c r="B372">
        <v>844000</v>
      </c>
      <c r="C372">
        <v>8.82</v>
      </c>
      <c r="D372" t="s">
        <v>835</v>
      </c>
      <c r="E372" t="s">
        <v>13</v>
      </c>
      <c r="F372">
        <v>2023</v>
      </c>
      <c r="G372" t="s">
        <v>10</v>
      </c>
    </row>
    <row r="373" spans="1:7">
      <c r="A373" t="s">
        <v>836</v>
      </c>
      <c r="B373">
        <v>505000</v>
      </c>
      <c r="C373">
        <v>7.71</v>
      </c>
      <c r="D373" t="s">
        <v>268</v>
      </c>
      <c r="E373" t="s">
        <v>449</v>
      </c>
      <c r="F373">
        <v>2023</v>
      </c>
      <c r="G373" t="s">
        <v>10</v>
      </c>
    </row>
    <row r="374" spans="1:7">
      <c r="A374" t="s">
        <v>837</v>
      </c>
      <c r="B374">
        <v>434000</v>
      </c>
      <c r="C374">
        <v>7.86</v>
      </c>
      <c r="D374" t="s">
        <v>259</v>
      </c>
      <c r="E374" t="s">
        <v>70</v>
      </c>
      <c r="F374">
        <v>2023</v>
      </c>
      <c r="G374" t="s">
        <v>10</v>
      </c>
    </row>
    <row r="375" spans="1:7">
      <c r="A375" t="s">
        <v>838</v>
      </c>
      <c r="B375">
        <v>426000</v>
      </c>
      <c r="C375">
        <v>7.62</v>
      </c>
      <c r="D375" t="s">
        <v>839</v>
      </c>
      <c r="E375" t="s">
        <v>159</v>
      </c>
      <c r="F375">
        <v>2023</v>
      </c>
      <c r="G375" t="s">
        <v>10</v>
      </c>
    </row>
    <row r="376" spans="1:7">
      <c r="A376" t="s">
        <v>840</v>
      </c>
      <c r="B376">
        <v>405000</v>
      </c>
      <c r="C376">
        <v>6.83</v>
      </c>
      <c r="D376" t="s">
        <v>841</v>
      </c>
      <c r="E376" t="s">
        <v>110</v>
      </c>
      <c r="F376">
        <v>2023</v>
      </c>
      <c r="G376" t="s">
        <v>10</v>
      </c>
    </row>
    <row r="377" spans="1:7">
      <c r="A377" t="s">
        <v>842</v>
      </c>
      <c r="B377">
        <v>357000</v>
      </c>
      <c r="C377">
        <v>8.42</v>
      </c>
      <c r="D377" t="s">
        <v>843</v>
      </c>
      <c r="E377" t="s">
        <v>647</v>
      </c>
      <c r="F377">
        <v>2023</v>
      </c>
      <c r="G377" t="s">
        <v>10</v>
      </c>
    </row>
    <row r="378" spans="1:7">
      <c r="A378" t="s">
        <v>844</v>
      </c>
      <c r="B378">
        <v>353000</v>
      </c>
      <c r="C378">
        <v>8.1</v>
      </c>
      <c r="D378" t="s">
        <v>845</v>
      </c>
      <c r="E378" t="s">
        <v>250</v>
      </c>
      <c r="F378">
        <v>2023</v>
      </c>
      <c r="G378" t="s">
        <v>10</v>
      </c>
    </row>
    <row r="379" spans="1:7">
      <c r="A379" t="s">
        <v>846</v>
      </c>
      <c r="B379">
        <v>336000</v>
      </c>
      <c r="C379">
        <v>7.56</v>
      </c>
      <c r="D379" t="s">
        <v>338</v>
      </c>
      <c r="E379" t="s">
        <v>27</v>
      </c>
      <c r="F379">
        <v>2023</v>
      </c>
      <c r="G379" t="s">
        <v>10</v>
      </c>
    </row>
    <row r="380" spans="1:7">
      <c r="A380" t="s">
        <v>847</v>
      </c>
      <c r="B380">
        <v>334000</v>
      </c>
      <c r="C380">
        <v>7.64</v>
      </c>
      <c r="D380" t="s">
        <v>572</v>
      </c>
      <c r="E380" t="s">
        <v>13</v>
      </c>
      <c r="F380">
        <v>2023</v>
      </c>
      <c r="G380" t="s">
        <v>10</v>
      </c>
    </row>
    <row r="381" spans="1:7">
      <c r="A381" t="s">
        <v>848</v>
      </c>
      <c r="B381">
        <v>333000</v>
      </c>
      <c r="C381">
        <v>7.44</v>
      </c>
      <c r="D381" t="s">
        <v>849</v>
      </c>
      <c r="E381" t="s">
        <v>104</v>
      </c>
      <c r="F381">
        <v>2023</v>
      </c>
      <c r="G381" t="s">
        <v>10</v>
      </c>
    </row>
    <row r="382" spans="1:7">
      <c r="A382" t="s">
        <v>850</v>
      </c>
      <c r="B382">
        <v>292000</v>
      </c>
      <c r="C382">
        <v>8.26</v>
      </c>
      <c r="D382" t="s">
        <v>17</v>
      </c>
      <c r="E382" t="s">
        <v>307</v>
      </c>
      <c r="F382">
        <v>2023</v>
      </c>
      <c r="G382" t="s">
        <v>10</v>
      </c>
    </row>
    <row r="383" spans="1:7">
      <c r="A383" t="s">
        <v>851</v>
      </c>
      <c r="B383">
        <v>273000</v>
      </c>
      <c r="C383">
        <v>7.22</v>
      </c>
      <c r="D383" t="s">
        <v>852</v>
      </c>
      <c r="E383" t="s">
        <v>110</v>
      </c>
      <c r="F383">
        <v>2023</v>
      </c>
      <c r="G383" t="s">
        <v>10</v>
      </c>
    </row>
    <row r="384" spans="1:7">
      <c r="A384" t="s">
        <v>853</v>
      </c>
      <c r="B384">
        <v>254000</v>
      </c>
      <c r="C384">
        <v>7.54</v>
      </c>
      <c r="D384" t="s">
        <v>309</v>
      </c>
      <c r="E384" t="s">
        <v>854</v>
      </c>
      <c r="F384">
        <v>2023</v>
      </c>
      <c r="G384" t="s">
        <v>10</v>
      </c>
    </row>
    <row r="385" spans="1:7">
      <c r="A385" t="s">
        <v>855</v>
      </c>
      <c r="B385">
        <v>234000</v>
      </c>
      <c r="C385">
        <v>7.82</v>
      </c>
      <c r="D385" t="s">
        <v>51</v>
      </c>
      <c r="E385" t="s">
        <v>52</v>
      </c>
      <c r="F385">
        <v>2023</v>
      </c>
      <c r="G385" t="s">
        <v>10</v>
      </c>
    </row>
    <row r="386" spans="1:7">
      <c r="A386" t="s">
        <v>856</v>
      </c>
      <c r="B386">
        <v>229000</v>
      </c>
      <c r="C386">
        <v>7.46</v>
      </c>
      <c r="D386" t="s">
        <v>857</v>
      </c>
      <c r="E386" t="s">
        <v>113</v>
      </c>
      <c r="F386">
        <v>2023</v>
      </c>
      <c r="G386" t="s">
        <v>10</v>
      </c>
    </row>
    <row r="387" spans="1:7">
      <c r="A387" t="s">
        <v>858</v>
      </c>
      <c r="B387">
        <v>226000</v>
      </c>
      <c r="C387">
        <v>7.37</v>
      </c>
      <c r="D387" t="s">
        <v>272</v>
      </c>
      <c r="E387" t="s">
        <v>354</v>
      </c>
      <c r="F387">
        <v>2023</v>
      </c>
      <c r="G387" t="s">
        <v>10</v>
      </c>
    </row>
    <row r="388" spans="1:7">
      <c r="A388" t="s">
        <v>859</v>
      </c>
      <c r="B388">
        <v>187000</v>
      </c>
      <c r="C388">
        <v>7.36</v>
      </c>
      <c r="D388" t="s">
        <v>860</v>
      </c>
      <c r="E388" t="s">
        <v>64</v>
      </c>
      <c r="F388">
        <v>2023</v>
      </c>
      <c r="G388" t="s">
        <v>10</v>
      </c>
    </row>
    <row r="389" spans="1:7">
      <c r="A389" t="s">
        <v>861</v>
      </c>
      <c r="B389">
        <v>178000</v>
      </c>
      <c r="C389">
        <v>6.56</v>
      </c>
      <c r="D389" t="s">
        <v>862</v>
      </c>
      <c r="E389" t="s">
        <v>312</v>
      </c>
      <c r="F389">
        <v>2023</v>
      </c>
      <c r="G389" t="s">
        <v>10</v>
      </c>
    </row>
    <row r="390" spans="1:7">
      <c r="A390" t="s">
        <v>863</v>
      </c>
      <c r="B390">
        <v>152000</v>
      </c>
      <c r="C390">
        <v>7.49</v>
      </c>
      <c r="D390" t="s">
        <v>864</v>
      </c>
      <c r="E390" t="s">
        <v>307</v>
      </c>
      <c r="F390">
        <v>2023</v>
      </c>
      <c r="G390" t="s">
        <v>10</v>
      </c>
    </row>
    <row r="391" spans="1:7">
      <c r="A391" t="s">
        <v>865</v>
      </c>
      <c r="B391">
        <v>142000</v>
      </c>
      <c r="C391">
        <v>6.81</v>
      </c>
      <c r="D391" t="s">
        <v>866</v>
      </c>
      <c r="E391" t="s">
        <v>121</v>
      </c>
      <c r="F391">
        <v>2023</v>
      </c>
      <c r="G391" t="s">
        <v>10</v>
      </c>
    </row>
    <row r="392" spans="1:7">
      <c r="A392" t="s">
        <v>867</v>
      </c>
      <c r="B392">
        <v>929000</v>
      </c>
      <c r="C392">
        <v>5.98</v>
      </c>
      <c r="D392" t="s">
        <v>868</v>
      </c>
      <c r="E392" t="s">
        <v>869</v>
      </c>
      <c r="F392">
        <v>2023</v>
      </c>
      <c r="G392" t="s">
        <v>10</v>
      </c>
    </row>
    <row r="393" spans="1:7">
      <c r="A393" t="s">
        <v>870</v>
      </c>
      <c r="B393">
        <v>887000</v>
      </c>
      <c r="C393">
        <v>8.1199999999999992</v>
      </c>
      <c r="D393" t="s">
        <v>871</v>
      </c>
      <c r="E393" t="s">
        <v>256</v>
      </c>
      <c r="F393">
        <v>2023</v>
      </c>
      <c r="G393" t="s">
        <v>10</v>
      </c>
    </row>
    <row r="394" spans="1:7">
      <c r="A394" t="s">
        <v>872</v>
      </c>
      <c r="B394">
        <v>856000</v>
      </c>
      <c r="C394">
        <v>8.2200000000000006</v>
      </c>
      <c r="D394" t="s">
        <v>873</v>
      </c>
      <c r="E394" t="s">
        <v>874</v>
      </c>
      <c r="F394">
        <v>2023</v>
      </c>
      <c r="G394" t="s">
        <v>10</v>
      </c>
    </row>
    <row r="395" spans="1:7">
      <c r="A395" t="s">
        <v>875</v>
      </c>
      <c r="B395">
        <v>814000</v>
      </c>
      <c r="C395">
        <v>8.2200000000000006</v>
      </c>
      <c r="D395" t="s">
        <v>566</v>
      </c>
      <c r="E395" t="s">
        <v>647</v>
      </c>
      <c r="F395">
        <v>2023</v>
      </c>
      <c r="G395" t="s">
        <v>10</v>
      </c>
    </row>
    <row r="396" spans="1:7">
      <c r="A396" t="s">
        <v>876</v>
      </c>
      <c r="B396">
        <v>425000</v>
      </c>
      <c r="C396">
        <v>7.75</v>
      </c>
      <c r="D396" t="s">
        <v>877</v>
      </c>
      <c r="E396" t="s">
        <v>702</v>
      </c>
      <c r="F396">
        <v>2023</v>
      </c>
      <c r="G396" t="s">
        <v>10</v>
      </c>
    </row>
    <row r="397" spans="1:7">
      <c r="A397" t="s">
        <v>878</v>
      </c>
      <c r="B397">
        <v>338000</v>
      </c>
      <c r="C397">
        <v>8.11</v>
      </c>
      <c r="D397" t="s">
        <v>152</v>
      </c>
      <c r="E397" t="s">
        <v>365</v>
      </c>
      <c r="F397">
        <v>2023</v>
      </c>
      <c r="G397" t="s">
        <v>10</v>
      </c>
    </row>
    <row r="398" spans="1:7">
      <c r="A398" t="s">
        <v>879</v>
      </c>
      <c r="B398">
        <v>113000</v>
      </c>
      <c r="C398">
        <v>7.85</v>
      </c>
      <c r="D398" t="s">
        <v>880</v>
      </c>
      <c r="E398" t="s">
        <v>869</v>
      </c>
      <c r="F398">
        <v>2023</v>
      </c>
      <c r="G398" t="s">
        <v>10</v>
      </c>
    </row>
    <row r="399" spans="1:7">
      <c r="A399" t="s">
        <v>881</v>
      </c>
      <c r="B399">
        <v>8400</v>
      </c>
      <c r="C399">
        <v>7.22</v>
      </c>
      <c r="D399" t="s">
        <v>167</v>
      </c>
      <c r="E399" t="s">
        <v>416</v>
      </c>
      <c r="F399">
        <v>2023</v>
      </c>
      <c r="G399" t="s">
        <v>10</v>
      </c>
    </row>
    <row r="400" spans="1:7">
      <c r="A400" t="s">
        <v>882</v>
      </c>
      <c r="B400">
        <v>796</v>
      </c>
      <c r="C400">
        <v>7.16</v>
      </c>
      <c r="D400" t="s">
        <v>883</v>
      </c>
      <c r="E400" t="s">
        <v>884</v>
      </c>
      <c r="F400">
        <v>2023</v>
      </c>
      <c r="G400" t="s">
        <v>10</v>
      </c>
    </row>
    <row r="401" spans="1:7">
      <c r="A401" t="s">
        <v>885</v>
      </c>
      <c r="B401">
        <v>765</v>
      </c>
      <c r="C401">
        <v>6.69</v>
      </c>
      <c r="D401" t="s">
        <v>886</v>
      </c>
      <c r="E401" t="s">
        <v>588</v>
      </c>
      <c r="F401">
        <v>2023</v>
      </c>
      <c r="G401" t="s">
        <v>10</v>
      </c>
    </row>
    <row r="402" spans="1:7">
      <c r="A402" t="s">
        <v>887</v>
      </c>
      <c r="B402">
        <v>626</v>
      </c>
      <c r="C402">
        <v>6.34</v>
      </c>
      <c r="D402" t="s">
        <v>57</v>
      </c>
      <c r="E402" t="s">
        <v>888</v>
      </c>
      <c r="F402">
        <v>2023</v>
      </c>
      <c r="G402" t="s">
        <v>10</v>
      </c>
    </row>
    <row r="403" spans="1:7">
      <c r="A403" t="s">
        <v>889</v>
      </c>
      <c r="B403">
        <v>624</v>
      </c>
      <c r="C403">
        <v>6.46</v>
      </c>
      <c r="D403" t="s">
        <v>197</v>
      </c>
      <c r="E403" t="s">
        <v>588</v>
      </c>
      <c r="F403">
        <v>2023</v>
      </c>
      <c r="G403" t="s">
        <v>10</v>
      </c>
    </row>
    <row r="404" spans="1:7">
      <c r="A404" t="s">
        <v>890</v>
      </c>
      <c r="B404">
        <v>511</v>
      </c>
      <c r="C404">
        <v>5.6</v>
      </c>
      <c r="D404" t="s">
        <v>891</v>
      </c>
      <c r="E404" t="s">
        <v>892</v>
      </c>
      <c r="F404">
        <v>2023</v>
      </c>
      <c r="G404" t="s">
        <v>10</v>
      </c>
    </row>
    <row r="405" spans="1:7">
      <c r="A405" t="s">
        <v>893</v>
      </c>
      <c r="B405">
        <v>388</v>
      </c>
      <c r="C405">
        <v>5.88</v>
      </c>
      <c r="D405" t="s">
        <v>894</v>
      </c>
      <c r="E405" t="s">
        <v>895</v>
      </c>
      <c r="F405">
        <v>2023</v>
      </c>
      <c r="G405" t="s">
        <v>10</v>
      </c>
    </row>
    <row r="406" spans="1:7">
      <c r="A406" t="s">
        <v>896</v>
      </c>
      <c r="B406">
        <v>747000</v>
      </c>
      <c r="C406">
        <v>8.1999999999999993</v>
      </c>
      <c r="D406" t="s">
        <v>747</v>
      </c>
      <c r="E406" t="s">
        <v>748</v>
      </c>
      <c r="F406">
        <v>2023</v>
      </c>
      <c r="G406" t="s">
        <v>420</v>
      </c>
    </row>
    <row r="407" spans="1:7">
      <c r="A407" t="s">
        <v>897</v>
      </c>
      <c r="B407">
        <v>675000</v>
      </c>
      <c r="C407">
        <v>7.7</v>
      </c>
      <c r="D407" t="s">
        <v>898</v>
      </c>
      <c r="E407" t="s">
        <v>899</v>
      </c>
      <c r="F407">
        <v>2023</v>
      </c>
      <c r="G407" t="s">
        <v>420</v>
      </c>
    </row>
    <row r="408" spans="1:7">
      <c r="A408" t="s">
        <v>900</v>
      </c>
      <c r="B408">
        <v>408000</v>
      </c>
      <c r="C408">
        <v>8.6999999999999993</v>
      </c>
      <c r="D408" t="s">
        <v>800</v>
      </c>
      <c r="E408" t="s">
        <v>869</v>
      </c>
      <c r="F408">
        <v>2023</v>
      </c>
      <c r="G408" t="s">
        <v>420</v>
      </c>
    </row>
    <row r="409" spans="1:7">
      <c r="A409" t="s">
        <v>901</v>
      </c>
      <c r="B409">
        <v>380000</v>
      </c>
      <c r="C409">
        <v>7.68</v>
      </c>
      <c r="D409" t="s">
        <v>296</v>
      </c>
      <c r="E409" t="s">
        <v>297</v>
      </c>
      <c r="F409">
        <v>2023</v>
      </c>
      <c r="G409" t="s">
        <v>420</v>
      </c>
    </row>
    <row r="410" spans="1:7">
      <c r="A410" t="s">
        <v>902</v>
      </c>
      <c r="B410">
        <v>257000</v>
      </c>
      <c r="C410">
        <v>7.23</v>
      </c>
      <c r="D410" t="s">
        <v>43</v>
      </c>
      <c r="E410" t="s">
        <v>110</v>
      </c>
      <c r="F410">
        <v>2023</v>
      </c>
      <c r="G410" t="s">
        <v>420</v>
      </c>
    </row>
    <row r="411" spans="1:7">
      <c r="A411" t="s">
        <v>903</v>
      </c>
      <c r="B411">
        <v>220000</v>
      </c>
      <c r="C411">
        <v>6.94</v>
      </c>
      <c r="D411" t="s">
        <v>460</v>
      </c>
      <c r="E411" t="s">
        <v>150</v>
      </c>
      <c r="F411">
        <v>2023</v>
      </c>
      <c r="G411" t="s">
        <v>420</v>
      </c>
    </row>
    <row r="412" spans="1:7">
      <c r="A412" t="s">
        <v>904</v>
      </c>
      <c r="B412">
        <v>184000</v>
      </c>
      <c r="C412">
        <v>7.84</v>
      </c>
      <c r="D412" t="s">
        <v>905</v>
      </c>
      <c r="E412" t="s">
        <v>906</v>
      </c>
      <c r="F412">
        <v>2023</v>
      </c>
      <c r="G412" t="s">
        <v>420</v>
      </c>
    </row>
    <row r="413" spans="1:7">
      <c r="A413" t="s">
        <v>907</v>
      </c>
      <c r="B413">
        <v>176000</v>
      </c>
      <c r="C413">
        <v>6.68</v>
      </c>
      <c r="D413" t="s">
        <v>908</v>
      </c>
      <c r="E413" t="s">
        <v>909</v>
      </c>
      <c r="F413">
        <v>2023</v>
      </c>
      <c r="G413" t="s">
        <v>420</v>
      </c>
    </row>
    <row r="414" spans="1:7">
      <c r="A414" t="s">
        <v>910</v>
      </c>
      <c r="B414">
        <v>128000</v>
      </c>
      <c r="C414">
        <v>7.12</v>
      </c>
      <c r="D414" t="s">
        <v>911</v>
      </c>
      <c r="E414" t="s">
        <v>104</v>
      </c>
      <c r="F414">
        <v>2023</v>
      </c>
      <c r="G414" t="s">
        <v>420</v>
      </c>
    </row>
    <row r="415" spans="1:7">
      <c r="A415" t="s">
        <v>912</v>
      </c>
      <c r="B415">
        <v>124000</v>
      </c>
      <c r="C415">
        <v>6.69</v>
      </c>
      <c r="D415" t="s">
        <v>913</v>
      </c>
      <c r="E415" t="s">
        <v>41</v>
      </c>
      <c r="F415">
        <v>2023</v>
      </c>
      <c r="G415" t="s">
        <v>420</v>
      </c>
    </row>
    <row r="416" spans="1:7">
      <c r="A416" t="s">
        <v>914</v>
      </c>
      <c r="B416">
        <v>101000</v>
      </c>
      <c r="C416">
        <v>7.63</v>
      </c>
      <c r="D416" t="s">
        <v>915</v>
      </c>
      <c r="E416" t="s">
        <v>307</v>
      </c>
      <c r="F416">
        <v>2023</v>
      </c>
      <c r="G416" t="s">
        <v>420</v>
      </c>
    </row>
    <row r="417" spans="1:7">
      <c r="A417" t="s">
        <v>916</v>
      </c>
      <c r="B417">
        <v>170000</v>
      </c>
      <c r="C417">
        <v>8.6199999999999992</v>
      </c>
      <c r="D417" t="s">
        <v>917</v>
      </c>
      <c r="E417" t="s">
        <v>918</v>
      </c>
      <c r="F417">
        <v>2023</v>
      </c>
      <c r="G417" t="s">
        <v>420</v>
      </c>
    </row>
    <row r="418" spans="1:7">
      <c r="A418" t="s">
        <v>919</v>
      </c>
      <c r="B418">
        <v>77000</v>
      </c>
      <c r="C418">
        <v>7.77</v>
      </c>
      <c r="D418" t="s">
        <v>920</v>
      </c>
      <c r="E418" t="s">
        <v>619</v>
      </c>
      <c r="F418">
        <v>2023</v>
      </c>
      <c r="G418" t="s">
        <v>420</v>
      </c>
    </row>
    <row r="419" spans="1:7">
      <c r="A419" t="s">
        <v>921</v>
      </c>
      <c r="B419">
        <v>997</v>
      </c>
      <c r="C419">
        <v>6.57</v>
      </c>
      <c r="D419" t="s">
        <v>922</v>
      </c>
      <c r="E419" t="s">
        <v>372</v>
      </c>
      <c r="F419">
        <v>2023</v>
      </c>
      <c r="G419" t="s">
        <v>420</v>
      </c>
    </row>
    <row r="420" spans="1:7">
      <c r="A420" t="s">
        <v>923</v>
      </c>
      <c r="B420">
        <v>993</v>
      </c>
      <c r="C420">
        <v>6.69</v>
      </c>
      <c r="D420" t="s">
        <v>924</v>
      </c>
      <c r="E420" t="s">
        <v>925</v>
      </c>
      <c r="F420">
        <v>2023</v>
      </c>
      <c r="G420" t="s">
        <v>420</v>
      </c>
    </row>
    <row r="421" spans="1:7">
      <c r="A421" t="s">
        <v>926</v>
      </c>
      <c r="B421">
        <v>978</v>
      </c>
      <c r="C421">
        <v>6.15</v>
      </c>
      <c r="D421" t="s">
        <v>178</v>
      </c>
      <c r="E421" t="s">
        <v>927</v>
      </c>
      <c r="F421">
        <v>2023</v>
      </c>
      <c r="G421" t="s">
        <v>420</v>
      </c>
    </row>
    <row r="422" spans="1:7">
      <c r="A422" t="s">
        <v>928</v>
      </c>
      <c r="B422">
        <v>930</v>
      </c>
      <c r="C422">
        <v>7.08</v>
      </c>
      <c r="D422" t="s">
        <v>929</v>
      </c>
      <c r="E422" t="s">
        <v>404</v>
      </c>
      <c r="F422">
        <v>2023</v>
      </c>
      <c r="G422" t="s">
        <v>420</v>
      </c>
    </row>
    <row r="423" spans="1:7">
      <c r="A423" t="s">
        <v>930</v>
      </c>
      <c r="B423">
        <v>865</v>
      </c>
      <c r="C423">
        <v>5.84</v>
      </c>
      <c r="D423" t="s">
        <v>531</v>
      </c>
      <c r="E423" t="s">
        <v>931</v>
      </c>
      <c r="F423">
        <v>2023</v>
      </c>
      <c r="G423" t="s">
        <v>420</v>
      </c>
    </row>
    <row r="424" spans="1:7">
      <c r="A424" t="s">
        <v>932</v>
      </c>
      <c r="B424">
        <v>754</v>
      </c>
      <c r="C424">
        <v>6.32</v>
      </c>
      <c r="D424" t="s">
        <v>933</v>
      </c>
      <c r="E424" t="s">
        <v>934</v>
      </c>
      <c r="F424">
        <v>2023</v>
      </c>
      <c r="G424" t="s">
        <v>420</v>
      </c>
    </row>
    <row r="425" spans="1:7">
      <c r="A425" t="s">
        <v>935</v>
      </c>
      <c r="B425">
        <v>686</v>
      </c>
      <c r="C425">
        <v>6.24</v>
      </c>
      <c r="D425" t="s">
        <v>924</v>
      </c>
      <c r="E425" t="s">
        <v>401</v>
      </c>
      <c r="F425">
        <v>2023</v>
      </c>
      <c r="G425" t="s">
        <v>420</v>
      </c>
    </row>
    <row r="426" spans="1:7">
      <c r="A426" t="s">
        <v>936</v>
      </c>
      <c r="B426">
        <v>618</v>
      </c>
      <c r="C426">
        <v>6.43</v>
      </c>
      <c r="D426" t="s">
        <v>924</v>
      </c>
      <c r="E426" t="s">
        <v>937</v>
      </c>
      <c r="F426">
        <v>2023</v>
      </c>
      <c r="G426" t="s">
        <v>420</v>
      </c>
    </row>
    <row r="427" spans="1:7">
      <c r="A427" t="s">
        <v>938</v>
      </c>
      <c r="B427">
        <v>565</v>
      </c>
      <c r="C427">
        <v>5.8</v>
      </c>
      <c r="D427" t="s">
        <v>231</v>
      </c>
      <c r="E427" t="s">
        <v>939</v>
      </c>
      <c r="F427">
        <v>2023</v>
      </c>
      <c r="G427" t="s">
        <v>420</v>
      </c>
    </row>
    <row r="428" spans="1:7">
      <c r="A428" t="s">
        <v>940</v>
      </c>
      <c r="B428">
        <v>245000</v>
      </c>
      <c r="C428">
        <v>7.54</v>
      </c>
      <c r="D428" t="s">
        <v>747</v>
      </c>
      <c r="E428" t="s">
        <v>748</v>
      </c>
      <c r="F428">
        <v>2023</v>
      </c>
      <c r="G428" t="s">
        <v>420</v>
      </c>
    </row>
    <row r="429" spans="1:7">
      <c r="A429" t="s">
        <v>941</v>
      </c>
      <c r="B429">
        <v>1000000</v>
      </c>
      <c r="C429">
        <v>8.5399999999999991</v>
      </c>
      <c r="D429" t="s">
        <v>942</v>
      </c>
      <c r="E429" t="s">
        <v>21</v>
      </c>
      <c r="F429">
        <v>2023</v>
      </c>
      <c r="G429" t="s">
        <v>257</v>
      </c>
    </row>
    <row r="430" spans="1:7">
      <c r="A430" t="s">
        <v>943</v>
      </c>
      <c r="B430">
        <v>939000</v>
      </c>
      <c r="C430">
        <v>8.09</v>
      </c>
      <c r="D430" t="s">
        <v>15</v>
      </c>
      <c r="E430" t="s">
        <v>13</v>
      </c>
      <c r="F430">
        <v>2023</v>
      </c>
      <c r="G430" t="s">
        <v>257</v>
      </c>
    </row>
    <row r="431" spans="1:7">
      <c r="A431" t="s">
        <v>944</v>
      </c>
      <c r="B431">
        <v>786000</v>
      </c>
      <c r="C431">
        <v>7.61</v>
      </c>
      <c r="D431" t="s">
        <v>608</v>
      </c>
      <c r="E431" t="s">
        <v>27</v>
      </c>
      <c r="F431">
        <v>2023</v>
      </c>
      <c r="G431" t="s">
        <v>257</v>
      </c>
    </row>
    <row r="432" spans="1:7">
      <c r="A432" t="s">
        <v>945</v>
      </c>
      <c r="B432">
        <v>624000</v>
      </c>
      <c r="C432">
        <v>8.2100000000000009</v>
      </c>
      <c r="D432" t="s">
        <v>946</v>
      </c>
      <c r="E432" t="s">
        <v>429</v>
      </c>
      <c r="F432">
        <v>2023</v>
      </c>
      <c r="G432" t="s">
        <v>257</v>
      </c>
    </row>
    <row r="433" spans="1:7">
      <c r="A433" t="s">
        <v>947</v>
      </c>
      <c r="B433">
        <v>598000</v>
      </c>
      <c r="C433">
        <v>8.15</v>
      </c>
      <c r="D433" t="s">
        <v>261</v>
      </c>
      <c r="E433" t="s">
        <v>150</v>
      </c>
      <c r="F433">
        <v>2023</v>
      </c>
      <c r="G433" t="s">
        <v>257</v>
      </c>
    </row>
    <row r="434" spans="1:7">
      <c r="A434" t="s">
        <v>948</v>
      </c>
      <c r="B434">
        <v>543000</v>
      </c>
      <c r="C434">
        <v>7.75</v>
      </c>
      <c r="D434" t="s">
        <v>949</v>
      </c>
      <c r="E434" t="s">
        <v>9</v>
      </c>
      <c r="F434">
        <v>2023</v>
      </c>
      <c r="G434" t="s">
        <v>257</v>
      </c>
    </row>
    <row r="435" spans="1:7">
      <c r="A435" t="s">
        <v>950</v>
      </c>
      <c r="B435">
        <v>437000</v>
      </c>
      <c r="C435">
        <v>8.1999999999999993</v>
      </c>
      <c r="D435" t="s">
        <v>616</v>
      </c>
      <c r="E435" t="s">
        <v>241</v>
      </c>
      <c r="F435">
        <v>2023</v>
      </c>
      <c r="G435" t="s">
        <v>257</v>
      </c>
    </row>
    <row r="436" spans="1:7">
      <c r="A436" t="s">
        <v>951</v>
      </c>
      <c r="B436">
        <v>389000</v>
      </c>
      <c r="C436">
        <v>7.52</v>
      </c>
      <c r="D436" t="s">
        <v>406</v>
      </c>
      <c r="E436" t="s">
        <v>365</v>
      </c>
      <c r="F436">
        <v>2023</v>
      </c>
      <c r="G436" t="s">
        <v>257</v>
      </c>
    </row>
    <row r="437" spans="1:7">
      <c r="A437" t="s">
        <v>952</v>
      </c>
      <c r="B437">
        <v>387000</v>
      </c>
      <c r="C437">
        <v>6.33</v>
      </c>
      <c r="D437" t="s">
        <v>291</v>
      </c>
      <c r="E437" t="s">
        <v>331</v>
      </c>
      <c r="F437">
        <v>2023</v>
      </c>
      <c r="G437" t="s">
        <v>257</v>
      </c>
    </row>
    <row r="438" spans="1:7">
      <c r="A438" t="s">
        <v>953</v>
      </c>
      <c r="B438">
        <v>341000</v>
      </c>
      <c r="C438">
        <v>8.11</v>
      </c>
      <c r="D438" t="s">
        <v>954</v>
      </c>
      <c r="E438" t="s">
        <v>250</v>
      </c>
      <c r="F438">
        <v>2023</v>
      </c>
      <c r="G438" t="s">
        <v>257</v>
      </c>
    </row>
    <row r="439" spans="1:7">
      <c r="A439" t="s">
        <v>955</v>
      </c>
      <c r="B439">
        <v>274000</v>
      </c>
      <c r="C439">
        <v>8.08</v>
      </c>
      <c r="D439" t="s">
        <v>306</v>
      </c>
      <c r="E439" t="s">
        <v>159</v>
      </c>
      <c r="F439">
        <v>2023</v>
      </c>
      <c r="G439" t="s">
        <v>257</v>
      </c>
    </row>
    <row r="440" spans="1:7">
      <c r="A440" t="s">
        <v>956</v>
      </c>
      <c r="B440">
        <v>218000</v>
      </c>
      <c r="C440">
        <v>7.77</v>
      </c>
      <c r="D440" t="s">
        <v>957</v>
      </c>
      <c r="E440" t="s">
        <v>958</v>
      </c>
      <c r="F440">
        <v>2023</v>
      </c>
      <c r="G440" t="s">
        <v>257</v>
      </c>
    </row>
    <row r="441" spans="1:7">
      <c r="A441" t="s">
        <v>959</v>
      </c>
      <c r="B441">
        <v>196000</v>
      </c>
      <c r="C441">
        <v>7.53</v>
      </c>
      <c r="D441" t="s">
        <v>960</v>
      </c>
      <c r="E441" t="s">
        <v>116</v>
      </c>
      <c r="F441">
        <v>2023</v>
      </c>
      <c r="G441" t="s">
        <v>257</v>
      </c>
    </row>
    <row r="442" spans="1:7">
      <c r="A442" t="s">
        <v>961</v>
      </c>
      <c r="B442">
        <v>174000</v>
      </c>
      <c r="C442">
        <v>6.39</v>
      </c>
      <c r="D442" t="s">
        <v>962</v>
      </c>
      <c r="E442" t="s">
        <v>307</v>
      </c>
      <c r="F442">
        <v>2023</v>
      </c>
      <c r="G442" t="s">
        <v>257</v>
      </c>
    </row>
    <row r="443" spans="1:7">
      <c r="A443" t="s">
        <v>963</v>
      </c>
      <c r="B443">
        <v>164000</v>
      </c>
      <c r="C443">
        <v>7.32</v>
      </c>
      <c r="D443" t="s">
        <v>964</v>
      </c>
      <c r="E443" t="s">
        <v>965</v>
      </c>
      <c r="F443">
        <v>2023</v>
      </c>
      <c r="G443" t="s">
        <v>257</v>
      </c>
    </row>
    <row r="444" spans="1:7">
      <c r="A444" t="s">
        <v>966</v>
      </c>
      <c r="B444">
        <v>162000</v>
      </c>
      <c r="C444">
        <v>7.4</v>
      </c>
      <c r="D444" t="s">
        <v>327</v>
      </c>
      <c r="E444" t="s">
        <v>191</v>
      </c>
      <c r="F444">
        <v>2023</v>
      </c>
      <c r="G444" t="s">
        <v>257</v>
      </c>
    </row>
    <row r="445" spans="1:7">
      <c r="A445" t="s">
        <v>967</v>
      </c>
      <c r="B445">
        <v>156000</v>
      </c>
      <c r="C445">
        <v>6.61</v>
      </c>
      <c r="D445" t="s">
        <v>968</v>
      </c>
      <c r="E445" t="s">
        <v>159</v>
      </c>
      <c r="F445">
        <v>2023</v>
      </c>
      <c r="G445" t="s">
        <v>257</v>
      </c>
    </row>
    <row r="446" spans="1:7">
      <c r="A446" t="s">
        <v>969</v>
      </c>
      <c r="B446">
        <v>902</v>
      </c>
      <c r="C446">
        <v>5.71</v>
      </c>
      <c r="D446" t="s">
        <v>167</v>
      </c>
      <c r="E446" t="s">
        <v>181</v>
      </c>
      <c r="F446">
        <v>2023</v>
      </c>
      <c r="G446" t="s">
        <v>257</v>
      </c>
    </row>
    <row r="447" spans="1:7">
      <c r="A447" t="s">
        <v>970</v>
      </c>
      <c r="B447">
        <v>9700</v>
      </c>
      <c r="C447">
        <v>5.79</v>
      </c>
      <c r="D447" t="s">
        <v>971</v>
      </c>
      <c r="E447" t="s">
        <v>381</v>
      </c>
      <c r="F447">
        <v>2023</v>
      </c>
      <c r="G447" t="s">
        <v>257</v>
      </c>
    </row>
    <row r="448" spans="1:7">
      <c r="A448" t="s">
        <v>972</v>
      </c>
      <c r="B448">
        <v>916</v>
      </c>
      <c r="C448">
        <v>6.58</v>
      </c>
      <c r="D448" t="s">
        <v>197</v>
      </c>
      <c r="E448" t="s">
        <v>401</v>
      </c>
      <c r="F448">
        <v>2023</v>
      </c>
      <c r="G448" t="s">
        <v>257</v>
      </c>
    </row>
    <row r="449" spans="1:7">
      <c r="A449" t="s">
        <v>973</v>
      </c>
      <c r="B449">
        <v>837</v>
      </c>
      <c r="C449">
        <v>6.37</v>
      </c>
      <c r="D449" t="s">
        <v>974</v>
      </c>
      <c r="E449" t="s">
        <v>401</v>
      </c>
      <c r="F449">
        <v>2023</v>
      </c>
      <c r="G449" t="s">
        <v>257</v>
      </c>
    </row>
    <row r="450" spans="1:7">
      <c r="A450" t="s">
        <v>975</v>
      </c>
      <c r="B450">
        <v>736</v>
      </c>
      <c r="C450">
        <v>5.75</v>
      </c>
      <c r="D450" t="s">
        <v>783</v>
      </c>
      <c r="E450" t="s">
        <v>381</v>
      </c>
      <c r="F450">
        <v>2023</v>
      </c>
      <c r="G450" t="s">
        <v>257</v>
      </c>
    </row>
    <row r="451" spans="1:7">
      <c r="A451" t="s">
        <v>976</v>
      </c>
      <c r="B451">
        <v>268000</v>
      </c>
      <c r="C451">
        <v>7.98</v>
      </c>
      <c r="D451" t="s">
        <v>977</v>
      </c>
      <c r="E451" t="s">
        <v>869</v>
      </c>
      <c r="F451">
        <v>2023</v>
      </c>
      <c r="G451" t="s">
        <v>257</v>
      </c>
    </row>
    <row r="452" spans="1:7">
      <c r="A452" t="s">
        <v>978</v>
      </c>
      <c r="B452">
        <v>959</v>
      </c>
      <c r="C452">
        <v>5.31</v>
      </c>
      <c r="D452" t="s">
        <v>167</v>
      </c>
      <c r="E452" t="s">
        <v>381</v>
      </c>
      <c r="F452">
        <v>2023</v>
      </c>
      <c r="G452" t="s">
        <v>257</v>
      </c>
    </row>
    <row r="453" spans="1:7">
      <c r="A453" t="s">
        <v>979</v>
      </c>
      <c r="B453">
        <v>672000</v>
      </c>
      <c r="C453">
        <v>8.06</v>
      </c>
      <c r="D453" t="s">
        <v>563</v>
      </c>
      <c r="E453" t="s">
        <v>564</v>
      </c>
      <c r="F453">
        <v>2023</v>
      </c>
      <c r="G453" t="s">
        <v>561</v>
      </c>
    </row>
    <row r="454" spans="1:7">
      <c r="A454" t="s">
        <v>980</v>
      </c>
      <c r="B454">
        <v>528000</v>
      </c>
      <c r="C454">
        <v>8.25</v>
      </c>
      <c r="D454" t="s">
        <v>873</v>
      </c>
      <c r="E454" t="s">
        <v>874</v>
      </c>
      <c r="F454">
        <v>2023</v>
      </c>
      <c r="G454" t="s">
        <v>561</v>
      </c>
    </row>
    <row r="455" spans="1:7">
      <c r="A455" t="s">
        <v>981</v>
      </c>
      <c r="B455">
        <v>520000</v>
      </c>
      <c r="C455">
        <v>7.08</v>
      </c>
      <c r="D455" t="s">
        <v>451</v>
      </c>
      <c r="E455" t="s">
        <v>297</v>
      </c>
      <c r="F455">
        <v>2023</v>
      </c>
      <c r="G455" t="s">
        <v>561</v>
      </c>
    </row>
    <row r="456" spans="1:7">
      <c r="A456" t="s">
        <v>982</v>
      </c>
      <c r="B456">
        <v>423000</v>
      </c>
      <c r="C456">
        <v>8.3000000000000007</v>
      </c>
      <c r="D456" t="s">
        <v>261</v>
      </c>
      <c r="E456" t="s">
        <v>150</v>
      </c>
      <c r="F456">
        <v>2023</v>
      </c>
      <c r="G456" t="s">
        <v>561</v>
      </c>
    </row>
    <row r="457" spans="1:7">
      <c r="A457" t="s">
        <v>983</v>
      </c>
      <c r="B457">
        <v>411000</v>
      </c>
      <c r="C457">
        <v>7.21</v>
      </c>
      <c r="D457" t="s">
        <v>984</v>
      </c>
      <c r="E457" t="s">
        <v>159</v>
      </c>
      <c r="F457">
        <v>2023</v>
      </c>
      <c r="G457" t="s">
        <v>561</v>
      </c>
    </row>
    <row r="458" spans="1:7">
      <c r="A458" t="s">
        <v>985</v>
      </c>
      <c r="B458">
        <v>326000</v>
      </c>
      <c r="C458">
        <v>7.68</v>
      </c>
      <c r="D458" t="s">
        <v>288</v>
      </c>
      <c r="E458" t="s">
        <v>289</v>
      </c>
      <c r="F458">
        <v>2023</v>
      </c>
      <c r="G458" t="s">
        <v>561</v>
      </c>
    </row>
    <row r="459" spans="1:7">
      <c r="A459" t="s">
        <v>986</v>
      </c>
      <c r="B459">
        <v>270000</v>
      </c>
      <c r="C459">
        <v>7.81</v>
      </c>
      <c r="D459" t="s">
        <v>839</v>
      </c>
      <c r="E459" t="s">
        <v>159</v>
      </c>
      <c r="F459">
        <v>2023</v>
      </c>
      <c r="G459" t="s">
        <v>561</v>
      </c>
    </row>
    <row r="460" spans="1:7">
      <c r="A460" t="s">
        <v>987</v>
      </c>
      <c r="B460">
        <v>255000</v>
      </c>
      <c r="C460">
        <v>6.72</v>
      </c>
      <c r="D460" t="s">
        <v>17</v>
      </c>
      <c r="E460" t="s">
        <v>75</v>
      </c>
      <c r="F460">
        <v>2023</v>
      </c>
      <c r="G460" t="s">
        <v>561</v>
      </c>
    </row>
    <row r="461" spans="1:7">
      <c r="A461" t="s">
        <v>988</v>
      </c>
      <c r="B461">
        <v>230000</v>
      </c>
      <c r="C461">
        <v>6.75</v>
      </c>
      <c r="D461" t="s">
        <v>259</v>
      </c>
      <c r="E461" t="s">
        <v>89</v>
      </c>
      <c r="F461">
        <v>2023</v>
      </c>
      <c r="G461" t="s">
        <v>561</v>
      </c>
    </row>
    <row r="462" spans="1:7">
      <c r="A462" t="s">
        <v>989</v>
      </c>
      <c r="B462">
        <v>177000</v>
      </c>
      <c r="C462">
        <v>6.21</v>
      </c>
      <c r="D462" t="s">
        <v>990</v>
      </c>
      <c r="E462" t="s">
        <v>643</v>
      </c>
      <c r="F462">
        <v>2023</v>
      </c>
      <c r="G462" t="s">
        <v>561</v>
      </c>
    </row>
    <row r="463" spans="1:7">
      <c r="A463" t="s">
        <v>991</v>
      </c>
      <c r="B463">
        <v>145000</v>
      </c>
      <c r="C463">
        <v>7.44</v>
      </c>
      <c r="D463" t="s">
        <v>992</v>
      </c>
      <c r="E463" t="s">
        <v>993</v>
      </c>
      <c r="F463">
        <v>2023</v>
      </c>
      <c r="G463" t="s">
        <v>561</v>
      </c>
    </row>
    <row r="464" spans="1:7">
      <c r="A464" t="s">
        <v>994</v>
      </c>
      <c r="B464">
        <v>248000</v>
      </c>
      <c r="C464">
        <v>8.44</v>
      </c>
      <c r="D464" t="s">
        <v>995</v>
      </c>
      <c r="E464" t="s">
        <v>996</v>
      </c>
      <c r="F464">
        <v>2023</v>
      </c>
      <c r="G464" t="s">
        <v>561</v>
      </c>
    </row>
    <row r="465" spans="1:7">
      <c r="A465" t="s">
        <v>997</v>
      </c>
      <c r="B465">
        <v>973</v>
      </c>
      <c r="C465">
        <v>6.81</v>
      </c>
      <c r="D465" t="s">
        <v>448</v>
      </c>
      <c r="E465" t="s">
        <v>998</v>
      </c>
      <c r="F465">
        <v>2023</v>
      </c>
      <c r="G465" t="s">
        <v>561</v>
      </c>
    </row>
    <row r="466" spans="1:7">
      <c r="A466" t="s">
        <v>999</v>
      </c>
      <c r="B466">
        <v>950</v>
      </c>
      <c r="C466">
        <v>6.67</v>
      </c>
      <c r="D466" t="s">
        <v>922</v>
      </c>
      <c r="E466" t="s">
        <v>372</v>
      </c>
      <c r="F466">
        <v>2023</v>
      </c>
      <c r="G466" t="s">
        <v>561</v>
      </c>
    </row>
    <row r="467" spans="1:7">
      <c r="A467" t="s">
        <v>1000</v>
      </c>
      <c r="B467">
        <v>770</v>
      </c>
      <c r="C467">
        <v>7.09</v>
      </c>
      <c r="D467" t="s">
        <v>396</v>
      </c>
      <c r="E467" t="s">
        <v>397</v>
      </c>
      <c r="F467">
        <v>2023</v>
      </c>
      <c r="G467" t="s">
        <v>561</v>
      </c>
    </row>
    <row r="468" spans="1:7">
      <c r="A468" t="s">
        <v>1001</v>
      </c>
      <c r="B468">
        <v>691</v>
      </c>
      <c r="C468">
        <v>6.23</v>
      </c>
      <c r="D468" t="s">
        <v>327</v>
      </c>
      <c r="E468" t="s">
        <v>1002</v>
      </c>
      <c r="F468">
        <v>2023</v>
      </c>
      <c r="G468" t="s">
        <v>561</v>
      </c>
    </row>
    <row r="469" spans="1:7">
      <c r="A469" t="s">
        <v>1003</v>
      </c>
      <c r="B469">
        <v>645</v>
      </c>
      <c r="C469">
        <v>6.59</v>
      </c>
      <c r="D469" t="s">
        <v>338</v>
      </c>
      <c r="E469" t="s">
        <v>1004</v>
      </c>
      <c r="F469">
        <v>2023</v>
      </c>
      <c r="G469" t="s">
        <v>561</v>
      </c>
    </row>
    <row r="470" spans="1:7">
      <c r="A470" t="s">
        <v>1005</v>
      </c>
      <c r="B470">
        <v>637</v>
      </c>
      <c r="C470">
        <v>5.73</v>
      </c>
      <c r="D470" t="s">
        <v>1006</v>
      </c>
      <c r="E470" t="s">
        <v>381</v>
      </c>
      <c r="F470">
        <v>2023</v>
      </c>
      <c r="G470" t="s">
        <v>561</v>
      </c>
    </row>
    <row r="471" spans="1:7">
      <c r="A471" t="s">
        <v>1007</v>
      </c>
      <c r="B471">
        <v>634</v>
      </c>
      <c r="C471">
        <v>5.98</v>
      </c>
      <c r="D471" t="s">
        <v>167</v>
      </c>
      <c r="E471" t="s">
        <v>110</v>
      </c>
      <c r="F471">
        <v>2023</v>
      </c>
      <c r="G471" t="s">
        <v>561</v>
      </c>
    </row>
    <row r="472" spans="1:7">
      <c r="A472" t="s">
        <v>1008</v>
      </c>
      <c r="B472">
        <v>609</v>
      </c>
      <c r="C472">
        <v>6.57</v>
      </c>
      <c r="D472" t="s">
        <v>1009</v>
      </c>
      <c r="E472" t="s">
        <v>397</v>
      </c>
      <c r="F472">
        <v>2023</v>
      </c>
      <c r="G472" t="s">
        <v>561</v>
      </c>
    </row>
    <row r="473" spans="1:7">
      <c r="A473" t="s">
        <v>1010</v>
      </c>
      <c r="B473">
        <v>462</v>
      </c>
      <c r="C473">
        <v>6.98</v>
      </c>
      <c r="D473" t="s">
        <v>197</v>
      </c>
      <c r="E473" t="s">
        <v>884</v>
      </c>
      <c r="F473">
        <v>2023</v>
      </c>
      <c r="G473" t="s">
        <v>561</v>
      </c>
    </row>
    <row r="474" spans="1:7">
      <c r="A474" t="s">
        <v>1011</v>
      </c>
      <c r="B474">
        <v>461</v>
      </c>
      <c r="C474">
        <v>6.29</v>
      </c>
      <c r="D474" t="s">
        <v>406</v>
      </c>
      <c r="E474" t="s">
        <v>1012</v>
      </c>
      <c r="F474">
        <v>2023</v>
      </c>
      <c r="G474" t="s">
        <v>561</v>
      </c>
    </row>
    <row r="475" spans="1:7">
      <c r="A475" t="s">
        <v>1013</v>
      </c>
      <c r="B475">
        <v>247000</v>
      </c>
      <c r="C475">
        <v>8.1</v>
      </c>
      <c r="D475" t="s">
        <v>563</v>
      </c>
      <c r="E475" t="s">
        <v>564</v>
      </c>
      <c r="F475">
        <v>2023</v>
      </c>
      <c r="G475" t="s">
        <v>561</v>
      </c>
    </row>
    <row r="476" spans="1:7">
      <c r="A476" t="s">
        <v>1014</v>
      </c>
      <c r="B476">
        <v>1700000</v>
      </c>
      <c r="C476">
        <v>8.6999999999999993</v>
      </c>
      <c r="D476" t="s">
        <v>744</v>
      </c>
      <c r="E476" t="s">
        <v>498</v>
      </c>
      <c r="F476">
        <v>2022</v>
      </c>
      <c r="G476" t="s">
        <v>10</v>
      </c>
    </row>
    <row r="477" spans="1:7">
      <c r="A477" t="s">
        <v>1015</v>
      </c>
      <c r="B477">
        <v>1500000</v>
      </c>
      <c r="C477">
        <v>8.77</v>
      </c>
      <c r="D477" t="s">
        <v>1016</v>
      </c>
      <c r="E477" t="s">
        <v>13</v>
      </c>
      <c r="F477">
        <v>2022</v>
      </c>
      <c r="G477" t="s">
        <v>10</v>
      </c>
    </row>
    <row r="478" spans="1:7">
      <c r="A478" t="s">
        <v>1017</v>
      </c>
      <c r="B478">
        <v>1300000</v>
      </c>
      <c r="C478">
        <v>8.1300000000000008</v>
      </c>
      <c r="D478" t="s">
        <v>424</v>
      </c>
      <c r="E478" t="s">
        <v>300</v>
      </c>
      <c r="F478">
        <v>2022</v>
      </c>
      <c r="G478" t="s">
        <v>10</v>
      </c>
    </row>
    <row r="479" spans="1:7">
      <c r="A479" t="s">
        <v>1018</v>
      </c>
      <c r="B479">
        <v>459000</v>
      </c>
      <c r="C479">
        <v>7.13</v>
      </c>
      <c r="D479" t="s">
        <v>60</v>
      </c>
      <c r="E479" t="s">
        <v>1019</v>
      </c>
      <c r="F479">
        <v>2022</v>
      </c>
      <c r="G479" t="s">
        <v>10</v>
      </c>
    </row>
    <row r="480" spans="1:7">
      <c r="A480" t="s">
        <v>1020</v>
      </c>
      <c r="B480">
        <v>343000</v>
      </c>
      <c r="C480">
        <v>8.19</v>
      </c>
      <c r="D480" t="s">
        <v>1021</v>
      </c>
      <c r="E480" t="s">
        <v>647</v>
      </c>
      <c r="F480">
        <v>2022</v>
      </c>
      <c r="G480" t="s">
        <v>10</v>
      </c>
    </row>
    <row r="481" spans="1:7">
      <c r="A481" t="s">
        <v>1022</v>
      </c>
      <c r="B481">
        <v>296000</v>
      </c>
      <c r="C481">
        <v>6.22</v>
      </c>
      <c r="D481" t="s">
        <v>48</v>
      </c>
      <c r="E481" t="s">
        <v>307</v>
      </c>
      <c r="F481">
        <v>2022</v>
      </c>
      <c r="G481" t="s">
        <v>10</v>
      </c>
    </row>
    <row r="482" spans="1:7">
      <c r="A482" t="s">
        <v>1023</v>
      </c>
      <c r="B482">
        <v>278000</v>
      </c>
      <c r="C482">
        <v>7.14</v>
      </c>
      <c r="D482" t="s">
        <v>209</v>
      </c>
      <c r="E482" t="s">
        <v>1024</v>
      </c>
      <c r="F482">
        <v>2022</v>
      </c>
      <c r="G482" t="s">
        <v>10</v>
      </c>
    </row>
    <row r="483" spans="1:7">
      <c r="A483" t="s">
        <v>1025</v>
      </c>
      <c r="B483">
        <v>236000</v>
      </c>
      <c r="C483">
        <v>8.19</v>
      </c>
      <c r="D483" t="s">
        <v>1026</v>
      </c>
      <c r="E483" t="s">
        <v>35</v>
      </c>
      <c r="F483">
        <v>2022</v>
      </c>
      <c r="G483" t="s">
        <v>10</v>
      </c>
    </row>
    <row r="484" spans="1:7">
      <c r="A484" t="s">
        <v>1027</v>
      </c>
      <c r="B484">
        <v>214000</v>
      </c>
      <c r="C484">
        <v>7.65</v>
      </c>
      <c r="D484" t="s">
        <v>1028</v>
      </c>
      <c r="E484" t="s">
        <v>300</v>
      </c>
      <c r="F484">
        <v>2022</v>
      </c>
      <c r="G484" t="s">
        <v>10</v>
      </c>
    </row>
    <row r="485" spans="1:7">
      <c r="A485" t="s">
        <v>1029</v>
      </c>
      <c r="B485">
        <v>211000</v>
      </c>
      <c r="C485">
        <v>8.3699999999999992</v>
      </c>
      <c r="D485" t="s">
        <v>309</v>
      </c>
      <c r="E485" t="s">
        <v>241</v>
      </c>
      <c r="F485">
        <v>2022</v>
      </c>
      <c r="G485" t="s">
        <v>10</v>
      </c>
    </row>
    <row r="486" spans="1:7">
      <c r="A486" t="s">
        <v>1030</v>
      </c>
      <c r="B486">
        <v>131000</v>
      </c>
      <c r="C486">
        <v>6.62</v>
      </c>
      <c r="D486" t="s">
        <v>1031</v>
      </c>
      <c r="E486" t="s">
        <v>75</v>
      </c>
      <c r="F486">
        <v>2022</v>
      </c>
      <c r="G486" t="s">
        <v>10</v>
      </c>
    </row>
    <row r="487" spans="1:7">
      <c r="A487" t="s">
        <v>1032</v>
      </c>
      <c r="B487">
        <v>752000</v>
      </c>
      <c r="C487">
        <v>8.48</v>
      </c>
      <c r="D487" t="s">
        <v>327</v>
      </c>
      <c r="E487" t="s">
        <v>191</v>
      </c>
      <c r="F487">
        <v>2022</v>
      </c>
      <c r="G487" t="s">
        <v>10</v>
      </c>
    </row>
    <row r="488" spans="1:7">
      <c r="A488" t="s">
        <v>1033</v>
      </c>
      <c r="B488">
        <v>636000</v>
      </c>
      <c r="C488">
        <v>8.7200000000000006</v>
      </c>
      <c r="D488" t="s">
        <v>1034</v>
      </c>
      <c r="E488" t="s">
        <v>27</v>
      </c>
      <c r="F488">
        <v>2022</v>
      </c>
      <c r="G488" t="s">
        <v>10</v>
      </c>
    </row>
    <row r="489" spans="1:7">
      <c r="A489" t="s">
        <v>1035</v>
      </c>
      <c r="B489">
        <v>418000</v>
      </c>
      <c r="C489">
        <v>6.02</v>
      </c>
      <c r="D489" t="s">
        <v>1036</v>
      </c>
      <c r="E489" t="s">
        <v>98</v>
      </c>
      <c r="F489">
        <v>2022</v>
      </c>
      <c r="G489" t="s">
        <v>10</v>
      </c>
    </row>
    <row r="490" spans="1:7">
      <c r="A490" t="s">
        <v>1037</v>
      </c>
      <c r="B490">
        <v>283000</v>
      </c>
      <c r="C490">
        <v>6.91</v>
      </c>
      <c r="D490" t="s">
        <v>800</v>
      </c>
      <c r="E490" t="s">
        <v>368</v>
      </c>
      <c r="F490">
        <v>2022</v>
      </c>
      <c r="G490" t="s">
        <v>10</v>
      </c>
    </row>
    <row r="491" spans="1:7">
      <c r="A491" t="s">
        <v>1038</v>
      </c>
      <c r="B491">
        <v>204000</v>
      </c>
      <c r="C491">
        <v>8.15</v>
      </c>
      <c r="D491" t="s">
        <v>1039</v>
      </c>
      <c r="E491" t="s">
        <v>159</v>
      </c>
      <c r="F491">
        <v>2022</v>
      </c>
      <c r="G491" t="s">
        <v>10</v>
      </c>
    </row>
    <row r="492" spans="1:7">
      <c r="A492" t="s">
        <v>1040</v>
      </c>
      <c r="B492">
        <v>970</v>
      </c>
      <c r="C492">
        <v>5.59</v>
      </c>
      <c r="D492" t="s">
        <v>485</v>
      </c>
      <c r="E492" t="s">
        <v>1041</v>
      </c>
      <c r="F492">
        <v>2022</v>
      </c>
      <c r="G492" t="s">
        <v>10</v>
      </c>
    </row>
    <row r="493" spans="1:7">
      <c r="A493" t="s">
        <v>1042</v>
      </c>
      <c r="B493">
        <v>927</v>
      </c>
      <c r="C493">
        <v>5.44</v>
      </c>
      <c r="D493" t="s">
        <v>1043</v>
      </c>
      <c r="E493" t="s">
        <v>1044</v>
      </c>
      <c r="F493">
        <v>2022</v>
      </c>
      <c r="G493" t="s">
        <v>10</v>
      </c>
    </row>
    <row r="494" spans="1:7">
      <c r="A494" t="s">
        <v>1045</v>
      </c>
      <c r="B494">
        <v>861</v>
      </c>
      <c r="C494">
        <v>5.74</v>
      </c>
      <c r="D494" t="s">
        <v>1046</v>
      </c>
      <c r="E494" t="s">
        <v>1047</v>
      </c>
      <c r="F494">
        <v>2022</v>
      </c>
      <c r="G494" t="s">
        <v>10</v>
      </c>
    </row>
    <row r="495" spans="1:7">
      <c r="A495" t="s">
        <v>1048</v>
      </c>
      <c r="B495">
        <v>851</v>
      </c>
      <c r="C495">
        <v>6.69</v>
      </c>
      <c r="D495" t="s">
        <v>723</v>
      </c>
      <c r="E495" t="s">
        <v>1049</v>
      </c>
      <c r="F495">
        <v>2022</v>
      </c>
      <c r="G495" t="s">
        <v>10</v>
      </c>
    </row>
    <row r="496" spans="1:7">
      <c r="A496" t="s">
        <v>1050</v>
      </c>
      <c r="B496">
        <v>715</v>
      </c>
      <c r="C496">
        <v>5.48</v>
      </c>
      <c r="D496" t="s">
        <v>231</v>
      </c>
      <c r="E496" t="s">
        <v>1051</v>
      </c>
      <c r="F496">
        <v>2022</v>
      </c>
      <c r="G496" t="s">
        <v>10</v>
      </c>
    </row>
    <row r="497" spans="1:7">
      <c r="A497" t="s">
        <v>1052</v>
      </c>
      <c r="B497">
        <v>706</v>
      </c>
      <c r="C497">
        <v>6.28</v>
      </c>
      <c r="D497" t="s">
        <v>167</v>
      </c>
      <c r="E497" t="s">
        <v>1012</v>
      </c>
      <c r="F497">
        <v>2022</v>
      </c>
      <c r="G497" t="s">
        <v>10</v>
      </c>
    </row>
    <row r="498" spans="1:7">
      <c r="A498" t="s">
        <v>1053</v>
      </c>
      <c r="B498">
        <v>606</v>
      </c>
      <c r="C498">
        <v>5.53</v>
      </c>
      <c r="D498" t="s">
        <v>1054</v>
      </c>
      <c r="E498" t="s">
        <v>381</v>
      </c>
      <c r="F498">
        <v>2022</v>
      </c>
      <c r="G498" t="s">
        <v>10</v>
      </c>
    </row>
    <row r="499" spans="1:7">
      <c r="A499" t="s">
        <v>1055</v>
      </c>
      <c r="B499">
        <v>791000</v>
      </c>
      <c r="C499">
        <v>8.0500000000000007</v>
      </c>
      <c r="D499" t="s">
        <v>1056</v>
      </c>
      <c r="E499" t="s">
        <v>606</v>
      </c>
      <c r="F499">
        <v>2022</v>
      </c>
      <c r="G499" t="s">
        <v>420</v>
      </c>
    </row>
    <row r="500" spans="1:7">
      <c r="A500" t="s">
        <v>1057</v>
      </c>
      <c r="B500">
        <v>765000</v>
      </c>
      <c r="C500">
        <v>7.94</v>
      </c>
      <c r="D500" t="s">
        <v>435</v>
      </c>
      <c r="E500" t="s">
        <v>159</v>
      </c>
      <c r="F500">
        <v>2022</v>
      </c>
      <c r="G500" t="s">
        <v>420</v>
      </c>
    </row>
    <row r="501" spans="1:7">
      <c r="A501" t="s">
        <v>1058</v>
      </c>
      <c r="B501">
        <v>631000</v>
      </c>
      <c r="C501">
        <v>8.06</v>
      </c>
      <c r="D501" t="s">
        <v>568</v>
      </c>
      <c r="E501" t="s">
        <v>9</v>
      </c>
      <c r="F501">
        <v>2022</v>
      </c>
      <c r="G501" t="s">
        <v>420</v>
      </c>
    </row>
    <row r="502" spans="1:7">
      <c r="A502" t="s">
        <v>1059</v>
      </c>
      <c r="B502">
        <v>591000</v>
      </c>
      <c r="C502">
        <v>8.14</v>
      </c>
      <c r="D502" t="s">
        <v>183</v>
      </c>
      <c r="E502" t="s">
        <v>27</v>
      </c>
      <c r="F502">
        <v>2022</v>
      </c>
      <c r="G502" t="s">
        <v>420</v>
      </c>
    </row>
    <row r="503" spans="1:7">
      <c r="A503" t="s">
        <v>1060</v>
      </c>
      <c r="B503">
        <v>536000</v>
      </c>
      <c r="C503">
        <v>8.6</v>
      </c>
      <c r="D503" t="s">
        <v>1061</v>
      </c>
      <c r="E503" t="s">
        <v>297</v>
      </c>
      <c r="F503">
        <v>2022</v>
      </c>
      <c r="G503" t="s">
        <v>420</v>
      </c>
    </row>
    <row r="504" spans="1:7">
      <c r="A504" t="s">
        <v>1062</v>
      </c>
      <c r="B504">
        <v>524000</v>
      </c>
      <c r="C504">
        <v>6.66</v>
      </c>
      <c r="D504" t="s">
        <v>908</v>
      </c>
      <c r="E504" t="s">
        <v>909</v>
      </c>
      <c r="F504">
        <v>2022</v>
      </c>
      <c r="G504" t="s">
        <v>420</v>
      </c>
    </row>
    <row r="505" spans="1:7">
      <c r="A505" t="s">
        <v>1063</v>
      </c>
      <c r="B505">
        <v>473000</v>
      </c>
      <c r="C505">
        <v>6.7</v>
      </c>
      <c r="D505" t="s">
        <v>460</v>
      </c>
      <c r="E505" t="s">
        <v>150</v>
      </c>
      <c r="F505">
        <v>2022</v>
      </c>
      <c r="G505" t="s">
        <v>420</v>
      </c>
    </row>
    <row r="506" spans="1:7">
      <c r="A506" t="s">
        <v>1064</v>
      </c>
      <c r="B506">
        <v>406000</v>
      </c>
      <c r="C506">
        <v>7.75</v>
      </c>
      <c r="D506" t="s">
        <v>17</v>
      </c>
      <c r="E506" t="s">
        <v>307</v>
      </c>
      <c r="F506">
        <v>2022</v>
      </c>
      <c r="G506" t="s">
        <v>420</v>
      </c>
    </row>
    <row r="507" spans="1:7">
      <c r="A507" t="s">
        <v>1065</v>
      </c>
      <c r="B507">
        <v>272000</v>
      </c>
      <c r="C507">
        <v>7.26</v>
      </c>
      <c r="D507" t="s">
        <v>1066</v>
      </c>
      <c r="E507" t="s">
        <v>113</v>
      </c>
      <c r="F507">
        <v>2022</v>
      </c>
      <c r="G507" t="s">
        <v>420</v>
      </c>
    </row>
    <row r="508" spans="1:7">
      <c r="A508" t="s">
        <v>1067</v>
      </c>
      <c r="B508">
        <v>261000</v>
      </c>
      <c r="C508">
        <v>7.74</v>
      </c>
      <c r="D508" t="s">
        <v>1039</v>
      </c>
      <c r="E508" t="s">
        <v>1068</v>
      </c>
      <c r="F508">
        <v>2022</v>
      </c>
      <c r="G508" t="s">
        <v>420</v>
      </c>
    </row>
    <row r="509" spans="1:7">
      <c r="A509" t="s">
        <v>1069</v>
      </c>
      <c r="B509">
        <v>252000</v>
      </c>
      <c r="C509">
        <v>6.32</v>
      </c>
      <c r="D509" t="s">
        <v>568</v>
      </c>
      <c r="E509" t="s">
        <v>1070</v>
      </c>
      <c r="F509">
        <v>2022</v>
      </c>
      <c r="G509" t="s">
        <v>420</v>
      </c>
    </row>
    <row r="510" spans="1:7">
      <c r="A510" t="s">
        <v>1071</v>
      </c>
      <c r="B510">
        <v>140000</v>
      </c>
      <c r="C510">
        <v>8.02</v>
      </c>
      <c r="D510" t="s">
        <v>1072</v>
      </c>
      <c r="E510" t="s">
        <v>300</v>
      </c>
      <c r="F510">
        <v>2022</v>
      </c>
      <c r="G510" t="s">
        <v>420</v>
      </c>
    </row>
    <row r="511" spans="1:7">
      <c r="A511" t="s">
        <v>1073</v>
      </c>
      <c r="B511">
        <v>351000</v>
      </c>
      <c r="C511">
        <v>8.0399999999999991</v>
      </c>
      <c r="D511" t="s">
        <v>1074</v>
      </c>
      <c r="E511" t="s">
        <v>24</v>
      </c>
      <c r="F511">
        <v>2022</v>
      </c>
      <c r="G511" t="s">
        <v>420</v>
      </c>
    </row>
    <row r="512" spans="1:7">
      <c r="A512" t="s">
        <v>1075</v>
      </c>
      <c r="B512">
        <v>9400</v>
      </c>
      <c r="C512">
        <v>8.17</v>
      </c>
      <c r="D512" t="s">
        <v>197</v>
      </c>
      <c r="E512" t="s">
        <v>483</v>
      </c>
      <c r="F512">
        <v>2022</v>
      </c>
      <c r="G512" t="s">
        <v>420</v>
      </c>
    </row>
    <row r="513" spans="1:7">
      <c r="A513" t="s">
        <v>1076</v>
      </c>
      <c r="B513">
        <v>5600</v>
      </c>
      <c r="C513">
        <v>7.53</v>
      </c>
      <c r="D513" t="s">
        <v>197</v>
      </c>
      <c r="E513" t="s">
        <v>222</v>
      </c>
      <c r="F513">
        <v>2022</v>
      </c>
      <c r="G513" t="s">
        <v>420</v>
      </c>
    </row>
    <row r="514" spans="1:7">
      <c r="A514" t="s">
        <v>1077</v>
      </c>
      <c r="B514">
        <v>897</v>
      </c>
      <c r="C514">
        <v>5.96</v>
      </c>
      <c r="D514" t="s">
        <v>1078</v>
      </c>
      <c r="E514" t="s">
        <v>1079</v>
      </c>
      <c r="F514">
        <v>2022</v>
      </c>
      <c r="G514" t="s">
        <v>420</v>
      </c>
    </row>
    <row r="515" spans="1:7">
      <c r="A515" t="s">
        <v>1080</v>
      </c>
      <c r="B515">
        <v>879</v>
      </c>
      <c r="C515">
        <v>6.36</v>
      </c>
      <c r="D515" t="s">
        <v>933</v>
      </c>
      <c r="E515" t="s">
        <v>546</v>
      </c>
      <c r="F515">
        <v>2022</v>
      </c>
      <c r="G515" t="s">
        <v>420</v>
      </c>
    </row>
    <row r="516" spans="1:7">
      <c r="A516" t="s">
        <v>1081</v>
      </c>
      <c r="B516">
        <v>630</v>
      </c>
      <c r="C516">
        <v>6.59</v>
      </c>
      <c r="D516" t="s">
        <v>197</v>
      </c>
      <c r="E516" t="s">
        <v>588</v>
      </c>
      <c r="F516">
        <v>2022</v>
      </c>
      <c r="G516" t="s">
        <v>420</v>
      </c>
    </row>
    <row r="517" spans="1:7">
      <c r="A517" t="s">
        <v>1082</v>
      </c>
      <c r="B517">
        <v>581</v>
      </c>
      <c r="C517">
        <v>5.98</v>
      </c>
      <c r="D517" t="s">
        <v>231</v>
      </c>
      <c r="E517" t="s">
        <v>1083</v>
      </c>
      <c r="F517">
        <v>2022</v>
      </c>
      <c r="G517" t="s">
        <v>420</v>
      </c>
    </row>
    <row r="518" spans="1:7">
      <c r="A518" t="s">
        <v>1084</v>
      </c>
      <c r="B518">
        <v>518</v>
      </c>
      <c r="C518">
        <v>6.32</v>
      </c>
      <c r="D518" t="s">
        <v>1085</v>
      </c>
      <c r="E518" t="s">
        <v>1086</v>
      </c>
      <c r="F518">
        <v>2022</v>
      </c>
      <c r="G518" t="s">
        <v>420</v>
      </c>
    </row>
    <row r="519" spans="1:7">
      <c r="A519" t="s">
        <v>1087</v>
      </c>
      <c r="B519">
        <v>250000</v>
      </c>
      <c r="C519">
        <v>7.97</v>
      </c>
      <c r="D519" t="s">
        <v>1088</v>
      </c>
      <c r="E519" t="s">
        <v>1089</v>
      </c>
      <c r="F519">
        <v>2022</v>
      </c>
      <c r="G519" t="s">
        <v>420</v>
      </c>
    </row>
    <row r="520" spans="1:7">
      <c r="A520" t="s">
        <v>1090</v>
      </c>
      <c r="B520">
        <v>383000</v>
      </c>
      <c r="C520">
        <v>8.1199999999999992</v>
      </c>
      <c r="D520" t="s">
        <v>261</v>
      </c>
      <c r="E520" t="s">
        <v>150</v>
      </c>
      <c r="F520">
        <v>2022</v>
      </c>
      <c r="G520" t="s">
        <v>420</v>
      </c>
    </row>
    <row r="521" spans="1:7">
      <c r="A521" t="s">
        <v>1091</v>
      </c>
      <c r="B521">
        <v>733</v>
      </c>
      <c r="C521">
        <v>5.76</v>
      </c>
      <c r="D521" t="s">
        <v>795</v>
      </c>
      <c r="E521" t="s">
        <v>796</v>
      </c>
      <c r="F521">
        <v>2022</v>
      </c>
      <c r="G521" t="s">
        <v>420</v>
      </c>
    </row>
    <row r="522" spans="1:7">
      <c r="A522" t="s">
        <v>1092</v>
      </c>
      <c r="B522">
        <v>1900000</v>
      </c>
      <c r="C522">
        <v>8.42</v>
      </c>
      <c r="D522" t="s">
        <v>1093</v>
      </c>
      <c r="E522" t="s">
        <v>564</v>
      </c>
      <c r="F522">
        <v>2022</v>
      </c>
      <c r="G522" t="s">
        <v>257</v>
      </c>
    </row>
    <row r="523" spans="1:7">
      <c r="A523" t="s">
        <v>1094</v>
      </c>
      <c r="B523">
        <v>863000</v>
      </c>
      <c r="C523">
        <v>6.53</v>
      </c>
      <c r="D523" t="s">
        <v>1095</v>
      </c>
      <c r="E523" t="s">
        <v>1096</v>
      </c>
      <c r="F523">
        <v>2022</v>
      </c>
      <c r="G523" t="s">
        <v>257</v>
      </c>
    </row>
    <row r="524" spans="1:7">
      <c r="A524" t="s">
        <v>1097</v>
      </c>
      <c r="B524">
        <v>554000</v>
      </c>
      <c r="C524">
        <v>7.97</v>
      </c>
      <c r="D524" t="s">
        <v>173</v>
      </c>
      <c r="E524" t="s">
        <v>104</v>
      </c>
      <c r="F524">
        <v>2022</v>
      </c>
      <c r="G524" t="s">
        <v>257</v>
      </c>
    </row>
    <row r="525" spans="1:7">
      <c r="A525" t="s">
        <v>1098</v>
      </c>
      <c r="B525">
        <v>489000</v>
      </c>
      <c r="C525">
        <v>7.7</v>
      </c>
      <c r="D525" t="s">
        <v>1099</v>
      </c>
      <c r="E525" t="s">
        <v>86</v>
      </c>
      <c r="F525">
        <v>2022</v>
      </c>
      <c r="G525" t="s">
        <v>257</v>
      </c>
    </row>
    <row r="526" spans="1:7">
      <c r="A526" t="s">
        <v>1100</v>
      </c>
      <c r="B526">
        <v>392000</v>
      </c>
      <c r="C526">
        <v>7.27</v>
      </c>
      <c r="D526" t="s">
        <v>309</v>
      </c>
      <c r="E526" t="s">
        <v>101</v>
      </c>
      <c r="F526">
        <v>2022</v>
      </c>
      <c r="G526" t="s">
        <v>257</v>
      </c>
    </row>
    <row r="527" spans="1:7">
      <c r="A527" t="s">
        <v>1101</v>
      </c>
      <c r="B527">
        <v>372000</v>
      </c>
      <c r="C527">
        <v>7.13</v>
      </c>
      <c r="D527" t="s">
        <v>205</v>
      </c>
      <c r="E527" t="s">
        <v>621</v>
      </c>
      <c r="F527">
        <v>2022</v>
      </c>
      <c r="G527" t="s">
        <v>257</v>
      </c>
    </row>
    <row r="528" spans="1:7">
      <c r="A528" t="s">
        <v>1102</v>
      </c>
      <c r="B528">
        <v>354000</v>
      </c>
      <c r="C528">
        <v>7</v>
      </c>
      <c r="D528" t="s">
        <v>299</v>
      </c>
      <c r="E528" t="s">
        <v>83</v>
      </c>
      <c r="F528">
        <v>2022</v>
      </c>
      <c r="G528" t="s">
        <v>257</v>
      </c>
    </row>
    <row r="529" spans="1:7">
      <c r="A529" t="s">
        <v>1103</v>
      </c>
      <c r="B529">
        <v>339000</v>
      </c>
      <c r="C529">
        <v>6.29</v>
      </c>
      <c r="D529" t="s">
        <v>990</v>
      </c>
      <c r="E529" t="s">
        <v>623</v>
      </c>
      <c r="F529">
        <v>2022</v>
      </c>
      <c r="G529" t="s">
        <v>257</v>
      </c>
    </row>
    <row r="530" spans="1:7">
      <c r="A530" t="s">
        <v>1104</v>
      </c>
      <c r="B530">
        <v>329000</v>
      </c>
      <c r="C530">
        <v>8.09</v>
      </c>
      <c r="D530" t="s">
        <v>1105</v>
      </c>
      <c r="E530" t="s">
        <v>250</v>
      </c>
      <c r="F530">
        <v>2022</v>
      </c>
      <c r="G530" t="s">
        <v>257</v>
      </c>
    </row>
    <row r="531" spans="1:7">
      <c r="A531" t="s">
        <v>1106</v>
      </c>
      <c r="B531">
        <v>289000</v>
      </c>
      <c r="C531">
        <v>7.73</v>
      </c>
      <c r="D531" t="s">
        <v>1107</v>
      </c>
      <c r="E531" t="s">
        <v>1108</v>
      </c>
      <c r="F531">
        <v>2022</v>
      </c>
      <c r="G531" t="s">
        <v>257</v>
      </c>
    </row>
    <row r="532" spans="1:7">
      <c r="A532" t="s">
        <v>1109</v>
      </c>
      <c r="B532">
        <v>975</v>
      </c>
      <c r="C532">
        <v>6.28</v>
      </c>
      <c r="D532" t="s">
        <v>731</v>
      </c>
      <c r="E532" t="s">
        <v>401</v>
      </c>
      <c r="F532">
        <v>2022</v>
      </c>
      <c r="G532" t="s">
        <v>257</v>
      </c>
    </row>
    <row r="533" spans="1:7">
      <c r="A533" t="s">
        <v>1110</v>
      </c>
      <c r="B533">
        <v>898</v>
      </c>
      <c r="C533">
        <v>6.13</v>
      </c>
      <c r="D533" t="s">
        <v>231</v>
      </c>
      <c r="E533" t="s">
        <v>1111</v>
      </c>
      <c r="F533">
        <v>2022</v>
      </c>
      <c r="G533" t="s">
        <v>257</v>
      </c>
    </row>
    <row r="534" spans="1:7">
      <c r="A534" t="s">
        <v>1112</v>
      </c>
      <c r="B534">
        <v>862</v>
      </c>
      <c r="C534">
        <v>6.12</v>
      </c>
      <c r="D534" t="s">
        <v>1046</v>
      </c>
      <c r="E534" t="s">
        <v>67</v>
      </c>
      <c r="F534">
        <v>2022</v>
      </c>
      <c r="G534" t="s">
        <v>257</v>
      </c>
    </row>
    <row r="535" spans="1:7">
      <c r="A535" t="s">
        <v>1113</v>
      </c>
      <c r="B535">
        <v>776</v>
      </c>
      <c r="C535">
        <v>6.87</v>
      </c>
      <c r="D535" t="s">
        <v>396</v>
      </c>
      <c r="E535" t="s">
        <v>397</v>
      </c>
      <c r="F535">
        <v>2022</v>
      </c>
      <c r="G535" t="s">
        <v>257</v>
      </c>
    </row>
    <row r="536" spans="1:7">
      <c r="A536" t="s">
        <v>1114</v>
      </c>
      <c r="B536">
        <v>299</v>
      </c>
      <c r="C536">
        <v>5.99</v>
      </c>
      <c r="D536" t="s">
        <v>1115</v>
      </c>
      <c r="E536" t="s">
        <v>159</v>
      </c>
      <c r="F536">
        <v>2022</v>
      </c>
      <c r="G536" t="s">
        <v>257</v>
      </c>
    </row>
    <row r="537" spans="1:7">
      <c r="A537" t="s">
        <v>1116</v>
      </c>
      <c r="B537">
        <v>317000</v>
      </c>
      <c r="C537">
        <v>7.81</v>
      </c>
      <c r="D537" t="s">
        <v>1117</v>
      </c>
      <c r="E537" t="s">
        <v>289</v>
      </c>
      <c r="F537">
        <v>2022</v>
      </c>
      <c r="G537" t="s">
        <v>257</v>
      </c>
    </row>
    <row r="538" spans="1:7">
      <c r="A538" t="s">
        <v>1118</v>
      </c>
      <c r="B538">
        <v>459</v>
      </c>
      <c r="C538">
        <v>5.96</v>
      </c>
      <c r="D538" t="s">
        <v>406</v>
      </c>
      <c r="E538" t="s">
        <v>52</v>
      </c>
      <c r="F538">
        <v>2022</v>
      </c>
      <c r="G538" t="s">
        <v>257</v>
      </c>
    </row>
    <row r="539" spans="1:7">
      <c r="A539" t="s">
        <v>1119</v>
      </c>
      <c r="B539">
        <v>399</v>
      </c>
      <c r="C539">
        <v>5.49</v>
      </c>
      <c r="D539" t="s">
        <v>1120</v>
      </c>
      <c r="E539" t="s">
        <v>52</v>
      </c>
      <c r="F539">
        <v>2022</v>
      </c>
      <c r="G539" t="s">
        <v>257</v>
      </c>
    </row>
    <row r="540" spans="1:7">
      <c r="A540" t="s">
        <v>1121</v>
      </c>
      <c r="B540">
        <v>853000</v>
      </c>
      <c r="C540">
        <v>8.7200000000000006</v>
      </c>
      <c r="D540" t="s">
        <v>1122</v>
      </c>
      <c r="E540" t="s">
        <v>647</v>
      </c>
      <c r="F540">
        <v>2022</v>
      </c>
      <c r="G540" t="s">
        <v>561</v>
      </c>
    </row>
    <row r="541" spans="1:7">
      <c r="A541" t="s">
        <v>1123</v>
      </c>
      <c r="B541">
        <v>783000</v>
      </c>
      <c r="C541">
        <v>8.73</v>
      </c>
      <c r="D541" t="s">
        <v>1124</v>
      </c>
      <c r="E541" t="s">
        <v>300</v>
      </c>
      <c r="F541">
        <v>2022</v>
      </c>
      <c r="G541" t="s">
        <v>561</v>
      </c>
    </row>
    <row r="542" spans="1:7">
      <c r="A542" t="s">
        <v>1125</v>
      </c>
      <c r="B542">
        <v>698000</v>
      </c>
      <c r="C542">
        <v>8.98</v>
      </c>
      <c r="D542" t="s">
        <v>800</v>
      </c>
      <c r="E542" t="s">
        <v>869</v>
      </c>
      <c r="F542">
        <v>2022</v>
      </c>
      <c r="G542" t="s">
        <v>561</v>
      </c>
    </row>
    <row r="543" spans="1:7">
      <c r="A543" t="s">
        <v>1126</v>
      </c>
      <c r="B543">
        <v>251000</v>
      </c>
      <c r="C543">
        <v>7.24</v>
      </c>
      <c r="D543" t="s">
        <v>1127</v>
      </c>
      <c r="E543" t="s">
        <v>89</v>
      </c>
      <c r="F543">
        <v>2022</v>
      </c>
      <c r="G543" t="s">
        <v>561</v>
      </c>
    </row>
    <row r="544" spans="1:7">
      <c r="A544" t="s">
        <v>1128</v>
      </c>
      <c r="B544">
        <v>302000</v>
      </c>
      <c r="C544">
        <v>8.51</v>
      </c>
      <c r="D544" t="s">
        <v>1074</v>
      </c>
      <c r="E544" t="s">
        <v>24</v>
      </c>
      <c r="F544">
        <v>2022</v>
      </c>
      <c r="G544" t="s">
        <v>561</v>
      </c>
    </row>
    <row r="545" spans="1:7">
      <c r="A545" t="s">
        <v>1129</v>
      </c>
      <c r="B545">
        <v>498000</v>
      </c>
      <c r="C545">
        <v>8.24</v>
      </c>
      <c r="D545" t="s">
        <v>1130</v>
      </c>
      <c r="E545" t="s">
        <v>1131</v>
      </c>
      <c r="F545">
        <v>2022</v>
      </c>
      <c r="G545" t="s">
        <v>561</v>
      </c>
    </row>
    <row r="546" spans="1:7">
      <c r="A546" t="s">
        <v>1132</v>
      </c>
      <c r="B546">
        <v>275</v>
      </c>
      <c r="C546">
        <v>5.78</v>
      </c>
      <c r="D546" t="s">
        <v>1120</v>
      </c>
      <c r="E546" t="s">
        <v>1133</v>
      </c>
      <c r="F546">
        <v>2022</v>
      </c>
      <c r="G546" t="s">
        <v>561</v>
      </c>
    </row>
    <row r="547" spans="1:7">
      <c r="A547" t="s">
        <v>1134</v>
      </c>
      <c r="B547">
        <v>2300000</v>
      </c>
      <c r="C547">
        <v>8.7899999999999991</v>
      </c>
      <c r="D547" t="s">
        <v>1016</v>
      </c>
      <c r="E547" t="s">
        <v>13</v>
      </c>
      <c r="F547">
        <v>2021</v>
      </c>
      <c r="G547" t="s">
        <v>10</v>
      </c>
    </row>
    <row r="548" spans="1:7">
      <c r="A548" t="s">
        <v>1135</v>
      </c>
      <c r="B548">
        <v>1600000</v>
      </c>
      <c r="C548">
        <v>8.18</v>
      </c>
      <c r="D548" t="s">
        <v>306</v>
      </c>
      <c r="E548" t="s">
        <v>300</v>
      </c>
      <c r="F548">
        <v>2021</v>
      </c>
      <c r="G548" t="s">
        <v>10</v>
      </c>
    </row>
    <row r="549" spans="1:7">
      <c r="A549" t="s">
        <v>1136</v>
      </c>
      <c r="B549">
        <v>1200000</v>
      </c>
      <c r="C549">
        <v>8.15</v>
      </c>
      <c r="D549" t="s">
        <v>261</v>
      </c>
      <c r="E549" t="s">
        <v>150</v>
      </c>
      <c r="F549">
        <v>2021</v>
      </c>
      <c r="G549" t="s">
        <v>10</v>
      </c>
    </row>
    <row r="550" spans="1:7">
      <c r="A550" t="s">
        <v>1137</v>
      </c>
      <c r="B550">
        <v>997000</v>
      </c>
      <c r="C550">
        <v>5.24</v>
      </c>
      <c r="D550" t="s">
        <v>1138</v>
      </c>
      <c r="E550" t="s">
        <v>300</v>
      </c>
      <c r="F550">
        <v>2021</v>
      </c>
      <c r="G550" t="s">
        <v>10</v>
      </c>
    </row>
    <row r="551" spans="1:7">
      <c r="A551" t="s">
        <v>1139</v>
      </c>
      <c r="B551">
        <v>831000</v>
      </c>
      <c r="C551">
        <v>7.54</v>
      </c>
      <c r="D551" t="s">
        <v>1140</v>
      </c>
      <c r="E551" t="s">
        <v>300</v>
      </c>
      <c r="F551">
        <v>2021</v>
      </c>
      <c r="G551" t="s">
        <v>10</v>
      </c>
    </row>
    <row r="552" spans="1:7">
      <c r="A552" t="s">
        <v>1141</v>
      </c>
      <c r="B552">
        <v>809000</v>
      </c>
      <c r="C552">
        <v>8</v>
      </c>
      <c r="D552" t="s">
        <v>1117</v>
      </c>
      <c r="E552" t="s">
        <v>289</v>
      </c>
      <c r="F552">
        <v>2021</v>
      </c>
      <c r="G552" t="s">
        <v>10</v>
      </c>
    </row>
    <row r="553" spans="1:7">
      <c r="A553" t="s">
        <v>1142</v>
      </c>
      <c r="B553">
        <v>629000</v>
      </c>
      <c r="C553">
        <v>8</v>
      </c>
      <c r="D553" t="s">
        <v>1143</v>
      </c>
      <c r="E553" t="s">
        <v>647</v>
      </c>
      <c r="F553">
        <v>2021</v>
      </c>
      <c r="G553" t="s">
        <v>10</v>
      </c>
    </row>
    <row r="554" spans="1:7">
      <c r="A554" t="s">
        <v>1144</v>
      </c>
      <c r="B554">
        <v>506000</v>
      </c>
      <c r="C554">
        <v>7.44</v>
      </c>
      <c r="D554" t="s">
        <v>333</v>
      </c>
      <c r="E554" t="s">
        <v>331</v>
      </c>
      <c r="F554">
        <v>2021</v>
      </c>
      <c r="G554" t="s">
        <v>10</v>
      </c>
    </row>
    <row r="555" spans="1:7">
      <c r="A555" t="s">
        <v>1145</v>
      </c>
      <c r="B555">
        <v>494000</v>
      </c>
      <c r="C555">
        <v>7.75</v>
      </c>
      <c r="D555" t="s">
        <v>1146</v>
      </c>
      <c r="E555" t="s">
        <v>52</v>
      </c>
      <c r="F555">
        <v>2021</v>
      </c>
      <c r="G555" t="s">
        <v>10</v>
      </c>
    </row>
    <row r="556" spans="1:7">
      <c r="A556" t="s">
        <v>1147</v>
      </c>
      <c r="B556">
        <v>477000</v>
      </c>
      <c r="C556">
        <v>6.57</v>
      </c>
      <c r="D556" t="s">
        <v>147</v>
      </c>
      <c r="E556" t="s">
        <v>35</v>
      </c>
      <c r="F556">
        <v>2021</v>
      </c>
      <c r="G556" t="s">
        <v>10</v>
      </c>
    </row>
    <row r="557" spans="1:7">
      <c r="A557" t="s">
        <v>1148</v>
      </c>
      <c r="B557">
        <v>440000</v>
      </c>
      <c r="C557">
        <v>7.1</v>
      </c>
      <c r="D557" t="s">
        <v>426</v>
      </c>
      <c r="E557" t="s">
        <v>70</v>
      </c>
      <c r="F557">
        <v>2021</v>
      </c>
      <c r="G557" t="s">
        <v>10</v>
      </c>
    </row>
    <row r="558" spans="1:7">
      <c r="A558" t="s">
        <v>1149</v>
      </c>
      <c r="B558">
        <v>438000</v>
      </c>
      <c r="C558">
        <v>6.27</v>
      </c>
      <c r="D558" t="s">
        <v>1150</v>
      </c>
      <c r="E558" t="s">
        <v>86</v>
      </c>
      <c r="F558">
        <v>2021</v>
      </c>
      <c r="G558" t="s">
        <v>10</v>
      </c>
    </row>
    <row r="559" spans="1:7">
      <c r="A559" t="s">
        <v>1151</v>
      </c>
      <c r="B559">
        <v>420000</v>
      </c>
      <c r="C559">
        <v>7.36</v>
      </c>
      <c r="D559" t="s">
        <v>1152</v>
      </c>
      <c r="E559" t="s">
        <v>611</v>
      </c>
      <c r="F559">
        <v>2021</v>
      </c>
      <c r="G559" t="s">
        <v>10</v>
      </c>
    </row>
    <row r="560" spans="1:7">
      <c r="A560" t="s">
        <v>1153</v>
      </c>
      <c r="B560">
        <v>320000</v>
      </c>
      <c r="C560">
        <v>6.32</v>
      </c>
      <c r="D560" t="s">
        <v>374</v>
      </c>
      <c r="E560" t="s">
        <v>159</v>
      </c>
      <c r="F560">
        <v>2021</v>
      </c>
      <c r="G560" t="s">
        <v>10</v>
      </c>
    </row>
    <row r="561" spans="1:7">
      <c r="A561" t="s">
        <v>1154</v>
      </c>
      <c r="B561">
        <v>300000</v>
      </c>
      <c r="C561">
        <v>7.38</v>
      </c>
      <c r="D561" t="s">
        <v>1155</v>
      </c>
      <c r="E561" t="s">
        <v>24</v>
      </c>
      <c r="F561">
        <v>2021</v>
      </c>
      <c r="G561" t="s">
        <v>10</v>
      </c>
    </row>
    <row r="562" spans="1:7">
      <c r="A562" t="s">
        <v>1156</v>
      </c>
      <c r="B562">
        <v>253000</v>
      </c>
      <c r="C562">
        <v>8.5</v>
      </c>
      <c r="D562" t="s">
        <v>1157</v>
      </c>
      <c r="E562" t="s">
        <v>1158</v>
      </c>
      <c r="F562">
        <v>2021</v>
      </c>
      <c r="G562" t="s">
        <v>10</v>
      </c>
    </row>
    <row r="563" spans="1:7">
      <c r="A563" t="s">
        <v>1159</v>
      </c>
      <c r="B563">
        <v>3000000</v>
      </c>
      <c r="C563">
        <v>8.51</v>
      </c>
      <c r="D563" t="s">
        <v>1160</v>
      </c>
      <c r="E563" t="s">
        <v>13</v>
      </c>
      <c r="F563">
        <v>2021</v>
      </c>
      <c r="G563" t="s">
        <v>10</v>
      </c>
    </row>
    <row r="564" spans="1:7">
      <c r="A564" t="s">
        <v>1161</v>
      </c>
      <c r="B564">
        <v>303000</v>
      </c>
      <c r="C564">
        <v>7.21</v>
      </c>
      <c r="D564" t="s">
        <v>1162</v>
      </c>
      <c r="E564" t="s">
        <v>643</v>
      </c>
      <c r="F564">
        <v>2021</v>
      </c>
      <c r="G564" t="s">
        <v>10</v>
      </c>
    </row>
    <row r="565" spans="1:7">
      <c r="A565" t="s">
        <v>1163</v>
      </c>
      <c r="B565">
        <v>379000</v>
      </c>
      <c r="C565">
        <v>6.68</v>
      </c>
      <c r="D565" t="s">
        <v>1164</v>
      </c>
      <c r="E565" t="s">
        <v>810</v>
      </c>
      <c r="F565">
        <v>2021</v>
      </c>
      <c r="G565" t="s">
        <v>10</v>
      </c>
    </row>
    <row r="566" spans="1:7">
      <c r="A566" t="s">
        <v>1165</v>
      </c>
      <c r="B566">
        <v>899</v>
      </c>
      <c r="C566">
        <v>6.33</v>
      </c>
      <c r="D566" t="s">
        <v>448</v>
      </c>
      <c r="E566" t="s">
        <v>212</v>
      </c>
      <c r="F566">
        <v>2021</v>
      </c>
      <c r="G566" t="s">
        <v>10</v>
      </c>
    </row>
    <row r="567" spans="1:7">
      <c r="A567" t="s">
        <v>1166</v>
      </c>
      <c r="B567">
        <v>845</v>
      </c>
      <c r="C567">
        <v>5.29</v>
      </c>
      <c r="D567" t="s">
        <v>183</v>
      </c>
      <c r="E567" t="s">
        <v>1167</v>
      </c>
      <c r="F567">
        <v>2021</v>
      </c>
      <c r="G567" t="s">
        <v>10</v>
      </c>
    </row>
    <row r="568" spans="1:7">
      <c r="A568" t="s">
        <v>1168</v>
      </c>
      <c r="B568">
        <v>809</v>
      </c>
      <c r="C568">
        <v>6.11</v>
      </c>
      <c r="D568" t="s">
        <v>1169</v>
      </c>
      <c r="E568" t="s">
        <v>1131</v>
      </c>
      <c r="F568">
        <v>2021</v>
      </c>
      <c r="G568" t="s">
        <v>10</v>
      </c>
    </row>
    <row r="569" spans="1:7">
      <c r="A569" t="s">
        <v>1170</v>
      </c>
      <c r="B569">
        <v>807</v>
      </c>
      <c r="C569">
        <v>5.65</v>
      </c>
      <c r="D569" t="s">
        <v>237</v>
      </c>
      <c r="E569" t="s">
        <v>1171</v>
      </c>
      <c r="F569">
        <v>2021</v>
      </c>
      <c r="G569" t="s">
        <v>10</v>
      </c>
    </row>
    <row r="570" spans="1:7">
      <c r="A570" t="s">
        <v>1172</v>
      </c>
      <c r="B570">
        <v>788</v>
      </c>
      <c r="C570">
        <v>5.87</v>
      </c>
      <c r="D570" t="s">
        <v>540</v>
      </c>
      <c r="E570" t="s">
        <v>1173</v>
      </c>
      <c r="F570">
        <v>2021</v>
      </c>
      <c r="G570" t="s">
        <v>10</v>
      </c>
    </row>
    <row r="571" spans="1:7">
      <c r="A571" t="s">
        <v>1174</v>
      </c>
      <c r="B571">
        <v>748</v>
      </c>
      <c r="C571">
        <v>6.06</v>
      </c>
      <c r="D571" t="s">
        <v>1175</v>
      </c>
      <c r="E571" t="s">
        <v>1176</v>
      </c>
      <c r="F571">
        <v>2021</v>
      </c>
      <c r="G571" t="s">
        <v>10</v>
      </c>
    </row>
    <row r="572" spans="1:7">
      <c r="A572" t="s">
        <v>1177</v>
      </c>
      <c r="B572">
        <v>711</v>
      </c>
      <c r="C572">
        <v>5.4</v>
      </c>
      <c r="D572" t="s">
        <v>231</v>
      </c>
      <c r="E572" t="s">
        <v>1108</v>
      </c>
      <c r="F572">
        <v>2021</v>
      </c>
      <c r="G572" t="s">
        <v>10</v>
      </c>
    </row>
    <row r="573" spans="1:7">
      <c r="A573" t="s">
        <v>1178</v>
      </c>
      <c r="B573">
        <v>471</v>
      </c>
      <c r="C573">
        <v>5.7</v>
      </c>
      <c r="D573" t="s">
        <v>1179</v>
      </c>
      <c r="E573" t="s">
        <v>18</v>
      </c>
      <c r="F573">
        <v>2021</v>
      </c>
      <c r="G573" t="s">
        <v>10</v>
      </c>
    </row>
    <row r="574" spans="1:7">
      <c r="A574" t="s">
        <v>1180</v>
      </c>
      <c r="B574">
        <v>904</v>
      </c>
      <c r="C574">
        <v>5.41</v>
      </c>
      <c r="D574" t="s">
        <v>1181</v>
      </c>
      <c r="E574" t="s">
        <v>1167</v>
      </c>
      <c r="F574">
        <v>2021</v>
      </c>
      <c r="G574" t="s">
        <v>10</v>
      </c>
    </row>
    <row r="575" spans="1:7">
      <c r="A575" t="s">
        <v>1182</v>
      </c>
      <c r="B575">
        <v>903000</v>
      </c>
      <c r="C575">
        <v>8.2899999999999991</v>
      </c>
      <c r="D575" t="s">
        <v>255</v>
      </c>
      <c r="E575" t="s">
        <v>256</v>
      </c>
      <c r="F575">
        <v>2021</v>
      </c>
      <c r="G575" t="s">
        <v>420</v>
      </c>
    </row>
    <row r="576" spans="1:7">
      <c r="A576" t="s">
        <v>1183</v>
      </c>
      <c r="B576">
        <v>610000</v>
      </c>
      <c r="C576">
        <v>8.1999999999999993</v>
      </c>
      <c r="D576" t="s">
        <v>1184</v>
      </c>
      <c r="E576" t="s">
        <v>1185</v>
      </c>
      <c r="F576">
        <v>2021</v>
      </c>
      <c r="G576" t="s">
        <v>420</v>
      </c>
    </row>
    <row r="577" spans="1:7">
      <c r="A577" t="s">
        <v>1186</v>
      </c>
      <c r="B577">
        <v>452000</v>
      </c>
      <c r="C577">
        <v>7.06</v>
      </c>
      <c r="D577" t="s">
        <v>806</v>
      </c>
      <c r="E577" t="s">
        <v>150</v>
      </c>
      <c r="F577">
        <v>2021</v>
      </c>
      <c r="G577" t="s">
        <v>420</v>
      </c>
    </row>
    <row r="578" spans="1:7">
      <c r="A578" t="s">
        <v>1187</v>
      </c>
      <c r="B578">
        <v>422000</v>
      </c>
      <c r="C578">
        <v>6.51</v>
      </c>
      <c r="D578" t="s">
        <v>43</v>
      </c>
      <c r="E578" t="s">
        <v>965</v>
      </c>
      <c r="F578">
        <v>2021</v>
      </c>
      <c r="G578" t="s">
        <v>420</v>
      </c>
    </row>
    <row r="579" spans="1:7">
      <c r="A579" t="s">
        <v>1188</v>
      </c>
      <c r="B579">
        <v>410000</v>
      </c>
      <c r="C579">
        <v>6.43</v>
      </c>
      <c r="D579" t="s">
        <v>1189</v>
      </c>
      <c r="E579" t="s">
        <v>89</v>
      </c>
      <c r="F579">
        <v>2021</v>
      </c>
      <c r="G579" t="s">
        <v>420</v>
      </c>
    </row>
    <row r="580" spans="1:7">
      <c r="A580" t="s">
        <v>1190</v>
      </c>
      <c r="B580">
        <v>381000</v>
      </c>
      <c r="C580">
        <v>7.38</v>
      </c>
      <c r="D580" t="s">
        <v>1191</v>
      </c>
      <c r="E580" t="s">
        <v>156</v>
      </c>
      <c r="F580">
        <v>2021</v>
      </c>
      <c r="G580" t="s">
        <v>420</v>
      </c>
    </row>
    <row r="581" spans="1:7">
      <c r="A581" t="s">
        <v>1192</v>
      </c>
      <c r="B581">
        <v>282000</v>
      </c>
      <c r="C581">
        <v>7.58</v>
      </c>
      <c r="D581" t="s">
        <v>915</v>
      </c>
      <c r="E581" t="s">
        <v>307</v>
      </c>
      <c r="F581">
        <v>2021</v>
      </c>
      <c r="G581" t="s">
        <v>420</v>
      </c>
    </row>
    <row r="582" spans="1:7">
      <c r="A582" t="s">
        <v>1193</v>
      </c>
      <c r="B582">
        <v>256000</v>
      </c>
      <c r="C582">
        <v>7.21</v>
      </c>
      <c r="D582" t="s">
        <v>971</v>
      </c>
      <c r="E582" t="s">
        <v>110</v>
      </c>
      <c r="F582">
        <v>2021</v>
      </c>
      <c r="G582" t="s">
        <v>420</v>
      </c>
    </row>
    <row r="583" spans="1:7">
      <c r="A583" t="s">
        <v>1194</v>
      </c>
      <c r="B583">
        <v>210000</v>
      </c>
      <c r="C583">
        <v>7.6</v>
      </c>
      <c r="D583" t="s">
        <v>1195</v>
      </c>
      <c r="E583" t="s">
        <v>13</v>
      </c>
      <c r="F583">
        <v>2021</v>
      </c>
      <c r="G583" t="s">
        <v>420</v>
      </c>
    </row>
    <row r="584" spans="1:7">
      <c r="A584" t="s">
        <v>1196</v>
      </c>
      <c r="B584">
        <v>202000</v>
      </c>
      <c r="C584">
        <v>6.24</v>
      </c>
      <c r="D584" t="s">
        <v>1197</v>
      </c>
      <c r="E584" t="s">
        <v>319</v>
      </c>
      <c r="F584">
        <v>2021</v>
      </c>
      <c r="G584" t="s">
        <v>420</v>
      </c>
    </row>
    <row r="585" spans="1:7">
      <c r="A585" t="s">
        <v>1198</v>
      </c>
      <c r="B585">
        <v>993000</v>
      </c>
      <c r="C585">
        <v>8.35</v>
      </c>
      <c r="D585" t="s">
        <v>152</v>
      </c>
      <c r="E585" t="s">
        <v>64</v>
      </c>
      <c r="F585">
        <v>2021</v>
      </c>
      <c r="G585" t="s">
        <v>420</v>
      </c>
    </row>
    <row r="586" spans="1:7">
      <c r="A586" t="s">
        <v>1199</v>
      </c>
      <c r="B586">
        <v>371000</v>
      </c>
      <c r="C586">
        <v>8.02</v>
      </c>
      <c r="D586" t="s">
        <v>473</v>
      </c>
      <c r="E586" t="s">
        <v>266</v>
      </c>
      <c r="F586">
        <v>2021</v>
      </c>
      <c r="G586" t="s">
        <v>420</v>
      </c>
    </row>
    <row r="587" spans="1:7">
      <c r="A587" t="s">
        <v>1200</v>
      </c>
      <c r="B587">
        <v>995</v>
      </c>
      <c r="C587">
        <v>6.43</v>
      </c>
      <c r="D587" t="s">
        <v>197</v>
      </c>
      <c r="E587" t="s">
        <v>386</v>
      </c>
      <c r="F587">
        <v>2021</v>
      </c>
      <c r="G587" t="s">
        <v>420</v>
      </c>
    </row>
    <row r="588" spans="1:7">
      <c r="A588" t="s">
        <v>1201</v>
      </c>
      <c r="B588">
        <v>905</v>
      </c>
      <c r="C588">
        <v>5.84</v>
      </c>
      <c r="D588" t="s">
        <v>1202</v>
      </c>
      <c r="E588" t="s">
        <v>1203</v>
      </c>
      <c r="F588">
        <v>2021</v>
      </c>
      <c r="G588" t="s">
        <v>420</v>
      </c>
    </row>
    <row r="589" spans="1:7">
      <c r="A589" t="s">
        <v>1204</v>
      </c>
      <c r="B589">
        <v>885</v>
      </c>
      <c r="C589">
        <v>7.2</v>
      </c>
      <c r="D589" t="s">
        <v>406</v>
      </c>
      <c r="E589" t="s">
        <v>1205</v>
      </c>
      <c r="F589">
        <v>2021</v>
      </c>
      <c r="G589" t="s">
        <v>420</v>
      </c>
    </row>
    <row r="590" spans="1:7">
      <c r="A590" t="s">
        <v>1206</v>
      </c>
      <c r="B590">
        <v>881</v>
      </c>
      <c r="C590">
        <v>6.15</v>
      </c>
      <c r="D590" t="s">
        <v>1207</v>
      </c>
      <c r="E590" t="s">
        <v>1208</v>
      </c>
      <c r="F590">
        <v>2021</v>
      </c>
      <c r="G590" t="s">
        <v>420</v>
      </c>
    </row>
    <row r="591" spans="1:7">
      <c r="A591" t="s">
        <v>1209</v>
      </c>
      <c r="B591">
        <v>844</v>
      </c>
      <c r="C591">
        <v>5.86</v>
      </c>
      <c r="D591" t="s">
        <v>249</v>
      </c>
      <c r="E591" t="s">
        <v>1210</v>
      </c>
      <c r="F591">
        <v>2021</v>
      </c>
      <c r="G591" t="s">
        <v>420</v>
      </c>
    </row>
    <row r="592" spans="1:7">
      <c r="A592" t="s">
        <v>1211</v>
      </c>
      <c r="B592">
        <v>808</v>
      </c>
      <c r="C592">
        <v>5.41</v>
      </c>
      <c r="D592" t="s">
        <v>167</v>
      </c>
      <c r="E592" t="s">
        <v>1212</v>
      </c>
      <c r="F592">
        <v>2021</v>
      </c>
      <c r="G592" t="s">
        <v>420</v>
      </c>
    </row>
    <row r="593" spans="1:7">
      <c r="A593" t="s">
        <v>1213</v>
      </c>
      <c r="B593">
        <v>792</v>
      </c>
      <c r="C593">
        <v>6.13</v>
      </c>
      <c r="D593" t="s">
        <v>17</v>
      </c>
      <c r="E593" t="s">
        <v>1214</v>
      </c>
      <c r="F593">
        <v>2021</v>
      </c>
      <c r="G593" t="s">
        <v>420</v>
      </c>
    </row>
    <row r="594" spans="1:7">
      <c r="A594" t="s">
        <v>1215</v>
      </c>
      <c r="B594">
        <v>785</v>
      </c>
      <c r="C594">
        <v>6.01</v>
      </c>
      <c r="D594" t="s">
        <v>1216</v>
      </c>
      <c r="E594" t="s">
        <v>1217</v>
      </c>
      <c r="F594">
        <v>2021</v>
      </c>
      <c r="G594" t="s">
        <v>420</v>
      </c>
    </row>
    <row r="595" spans="1:7">
      <c r="A595" t="s">
        <v>1218</v>
      </c>
      <c r="B595">
        <v>522</v>
      </c>
      <c r="C595">
        <v>5.69</v>
      </c>
      <c r="D595" t="s">
        <v>167</v>
      </c>
      <c r="E595" t="s">
        <v>939</v>
      </c>
      <c r="F595">
        <v>2021</v>
      </c>
      <c r="G595" t="s">
        <v>420</v>
      </c>
    </row>
    <row r="596" spans="1:7">
      <c r="A596" t="s">
        <v>1219</v>
      </c>
      <c r="B596">
        <v>265000</v>
      </c>
      <c r="C596">
        <v>7.38</v>
      </c>
      <c r="D596" t="s">
        <v>1220</v>
      </c>
      <c r="E596" t="s">
        <v>1221</v>
      </c>
      <c r="F596">
        <v>2021</v>
      </c>
      <c r="G596" t="s">
        <v>420</v>
      </c>
    </row>
    <row r="597" spans="1:7">
      <c r="A597" t="s">
        <v>1222</v>
      </c>
      <c r="B597">
        <v>963000</v>
      </c>
      <c r="C597">
        <v>8.35</v>
      </c>
      <c r="D597" t="s">
        <v>1034</v>
      </c>
      <c r="E597" t="s">
        <v>27</v>
      </c>
      <c r="F597">
        <v>2021</v>
      </c>
      <c r="G597" t="s">
        <v>257</v>
      </c>
    </row>
    <row r="598" spans="1:7">
      <c r="A598" t="s">
        <v>1223</v>
      </c>
      <c r="B598">
        <v>883000</v>
      </c>
      <c r="C598">
        <v>7.18</v>
      </c>
      <c r="D598" t="s">
        <v>1224</v>
      </c>
      <c r="E598" t="s">
        <v>349</v>
      </c>
      <c r="F598">
        <v>2021</v>
      </c>
      <c r="G598" t="s">
        <v>257</v>
      </c>
    </row>
    <row r="599" spans="1:7">
      <c r="A599" t="s">
        <v>1225</v>
      </c>
      <c r="B599">
        <v>671000</v>
      </c>
      <c r="C599">
        <v>7.26</v>
      </c>
      <c r="D599" t="s">
        <v>1226</v>
      </c>
      <c r="E599" t="s">
        <v>70</v>
      </c>
      <c r="F599">
        <v>2021</v>
      </c>
      <c r="G599" t="s">
        <v>257</v>
      </c>
    </row>
    <row r="600" spans="1:7">
      <c r="A600" t="s">
        <v>1227</v>
      </c>
      <c r="B600">
        <v>606000</v>
      </c>
      <c r="C600">
        <v>8.3800000000000008</v>
      </c>
      <c r="D600" t="s">
        <v>1228</v>
      </c>
      <c r="E600" t="s">
        <v>191</v>
      </c>
      <c r="F600">
        <v>2021</v>
      </c>
      <c r="G600" t="s">
        <v>257</v>
      </c>
    </row>
    <row r="601" spans="1:7">
      <c r="A601" t="s">
        <v>1229</v>
      </c>
      <c r="B601">
        <v>560000</v>
      </c>
      <c r="C601">
        <v>8.94</v>
      </c>
      <c r="D601" t="s">
        <v>1230</v>
      </c>
      <c r="E601" t="s">
        <v>150</v>
      </c>
      <c r="F601">
        <v>2021</v>
      </c>
      <c r="G601" t="s">
        <v>257</v>
      </c>
    </row>
    <row r="602" spans="1:7">
      <c r="A602" t="s">
        <v>1231</v>
      </c>
      <c r="B602">
        <v>507000</v>
      </c>
      <c r="C602">
        <v>8.6300000000000008</v>
      </c>
      <c r="D602" t="s">
        <v>1232</v>
      </c>
      <c r="E602" t="s">
        <v>1233</v>
      </c>
      <c r="F602">
        <v>2021</v>
      </c>
      <c r="G602" t="s">
        <v>257</v>
      </c>
    </row>
    <row r="603" spans="1:7">
      <c r="A603" t="s">
        <v>1234</v>
      </c>
      <c r="B603">
        <v>464000</v>
      </c>
      <c r="C603">
        <v>6.68</v>
      </c>
      <c r="D603" t="s">
        <v>1235</v>
      </c>
      <c r="E603" t="s">
        <v>1236</v>
      </c>
      <c r="F603">
        <v>2021</v>
      </c>
      <c r="G603" t="s">
        <v>257</v>
      </c>
    </row>
    <row r="604" spans="1:7">
      <c r="A604" t="s">
        <v>1237</v>
      </c>
      <c r="B604">
        <v>447000</v>
      </c>
      <c r="C604">
        <v>6.89</v>
      </c>
      <c r="D604" t="s">
        <v>522</v>
      </c>
      <c r="E604" t="s">
        <v>1070</v>
      </c>
      <c r="F604">
        <v>2021</v>
      </c>
      <c r="G604" t="s">
        <v>257</v>
      </c>
    </row>
    <row r="605" spans="1:7">
      <c r="A605" t="s">
        <v>1238</v>
      </c>
      <c r="B605">
        <v>115000</v>
      </c>
      <c r="C605">
        <v>7.48</v>
      </c>
      <c r="D605" t="s">
        <v>1239</v>
      </c>
      <c r="E605" t="s">
        <v>796</v>
      </c>
      <c r="F605">
        <v>2021</v>
      </c>
      <c r="G605" t="s">
        <v>257</v>
      </c>
    </row>
    <row r="606" spans="1:7">
      <c r="A606" t="s">
        <v>1240</v>
      </c>
      <c r="B606">
        <v>596</v>
      </c>
      <c r="C606">
        <v>5.52</v>
      </c>
      <c r="D606" t="s">
        <v>167</v>
      </c>
      <c r="E606" t="s">
        <v>1241</v>
      </c>
      <c r="F606">
        <v>2021</v>
      </c>
      <c r="G606" t="s">
        <v>257</v>
      </c>
    </row>
    <row r="607" spans="1:7">
      <c r="A607" t="s">
        <v>1242</v>
      </c>
      <c r="B607">
        <v>474000</v>
      </c>
      <c r="C607">
        <v>7.26</v>
      </c>
      <c r="D607" t="s">
        <v>442</v>
      </c>
      <c r="E607" t="s">
        <v>307</v>
      </c>
      <c r="F607">
        <v>2021</v>
      </c>
      <c r="G607" t="s">
        <v>257</v>
      </c>
    </row>
    <row r="608" spans="1:7">
      <c r="A608" t="s">
        <v>1243</v>
      </c>
      <c r="B608">
        <v>926</v>
      </c>
      <c r="C608">
        <v>5.95</v>
      </c>
      <c r="D608" t="s">
        <v>1244</v>
      </c>
      <c r="E608" t="s">
        <v>104</v>
      </c>
      <c r="F608">
        <v>2021</v>
      </c>
      <c r="G608" t="s">
        <v>257</v>
      </c>
    </row>
    <row r="609" spans="1:7">
      <c r="A609" t="s">
        <v>1245</v>
      </c>
      <c r="B609">
        <v>780</v>
      </c>
      <c r="C609">
        <v>6.95</v>
      </c>
      <c r="D609" t="s">
        <v>883</v>
      </c>
      <c r="E609" t="s">
        <v>884</v>
      </c>
      <c r="F609">
        <v>2021</v>
      </c>
      <c r="G609" t="s">
        <v>257</v>
      </c>
    </row>
    <row r="610" spans="1:7">
      <c r="A610" t="s">
        <v>1246</v>
      </c>
      <c r="B610">
        <v>717</v>
      </c>
      <c r="C610">
        <v>6.74</v>
      </c>
      <c r="D610" t="s">
        <v>338</v>
      </c>
      <c r="E610" t="s">
        <v>544</v>
      </c>
      <c r="F610">
        <v>2021</v>
      </c>
      <c r="G610" t="s">
        <v>257</v>
      </c>
    </row>
    <row r="611" spans="1:7">
      <c r="A611" t="s">
        <v>1247</v>
      </c>
      <c r="B611">
        <v>670</v>
      </c>
      <c r="C611">
        <v>6.14</v>
      </c>
      <c r="D611" t="s">
        <v>1248</v>
      </c>
      <c r="E611" t="s">
        <v>884</v>
      </c>
      <c r="F611">
        <v>2021</v>
      </c>
      <c r="G611" t="s">
        <v>257</v>
      </c>
    </row>
    <row r="612" spans="1:7">
      <c r="A612" t="s">
        <v>1249</v>
      </c>
      <c r="B612">
        <v>337</v>
      </c>
      <c r="C612">
        <v>5.96</v>
      </c>
      <c r="D612" t="s">
        <v>231</v>
      </c>
      <c r="E612" t="s">
        <v>1250</v>
      </c>
      <c r="F612">
        <v>2021</v>
      </c>
      <c r="G612" t="s">
        <v>257</v>
      </c>
    </row>
    <row r="613" spans="1:7">
      <c r="A613" t="s">
        <v>1251</v>
      </c>
      <c r="B613">
        <v>158000</v>
      </c>
      <c r="C613">
        <v>5.16</v>
      </c>
      <c r="D613" t="s">
        <v>1140</v>
      </c>
      <c r="E613" t="s">
        <v>300</v>
      </c>
      <c r="F613">
        <v>2021</v>
      </c>
      <c r="G613" t="s">
        <v>257</v>
      </c>
    </row>
    <row r="614" spans="1:7">
      <c r="A614" t="s">
        <v>1252</v>
      </c>
      <c r="B614">
        <v>969000</v>
      </c>
      <c r="C614">
        <v>8.34</v>
      </c>
      <c r="D614" t="s">
        <v>744</v>
      </c>
      <c r="E614" t="s">
        <v>498</v>
      </c>
      <c r="F614">
        <v>2021</v>
      </c>
      <c r="G614" t="s">
        <v>561</v>
      </c>
    </row>
    <row r="615" spans="1:7">
      <c r="A615" t="s">
        <v>1253</v>
      </c>
      <c r="B615">
        <v>632000</v>
      </c>
      <c r="C615">
        <v>7.31</v>
      </c>
      <c r="D615" t="s">
        <v>1254</v>
      </c>
      <c r="E615" t="s">
        <v>362</v>
      </c>
      <c r="F615">
        <v>2021</v>
      </c>
      <c r="G615" t="s">
        <v>561</v>
      </c>
    </row>
    <row r="616" spans="1:7">
      <c r="A616" t="s">
        <v>1255</v>
      </c>
      <c r="B616">
        <v>569000</v>
      </c>
      <c r="C616">
        <v>7.16</v>
      </c>
      <c r="D616" t="s">
        <v>1256</v>
      </c>
      <c r="E616" t="s">
        <v>1257</v>
      </c>
      <c r="F616">
        <v>2021</v>
      </c>
      <c r="G616" t="s">
        <v>561</v>
      </c>
    </row>
    <row r="617" spans="1:7">
      <c r="A617" t="s">
        <v>1258</v>
      </c>
      <c r="B617">
        <v>527000</v>
      </c>
      <c r="C617">
        <v>7.79</v>
      </c>
      <c r="D617" t="s">
        <v>1259</v>
      </c>
      <c r="E617" t="s">
        <v>619</v>
      </c>
      <c r="F617">
        <v>2021</v>
      </c>
      <c r="G617" t="s">
        <v>561</v>
      </c>
    </row>
    <row r="618" spans="1:7">
      <c r="A618" t="s">
        <v>1260</v>
      </c>
      <c r="B618">
        <v>388000</v>
      </c>
      <c r="C618">
        <v>6.91</v>
      </c>
      <c r="D618" t="s">
        <v>528</v>
      </c>
      <c r="E618" t="s">
        <v>1261</v>
      </c>
      <c r="F618">
        <v>2021</v>
      </c>
      <c r="G618" t="s">
        <v>561</v>
      </c>
    </row>
    <row r="619" spans="1:7">
      <c r="A619" t="s">
        <v>1262</v>
      </c>
      <c r="B619">
        <v>240000</v>
      </c>
      <c r="C619">
        <v>6.16</v>
      </c>
      <c r="D619" t="s">
        <v>1263</v>
      </c>
      <c r="E619" t="s">
        <v>1264</v>
      </c>
      <c r="F619">
        <v>2021</v>
      </c>
      <c r="G619" t="s">
        <v>561</v>
      </c>
    </row>
    <row r="620" spans="1:7">
      <c r="A620" t="s">
        <v>1265</v>
      </c>
      <c r="B620">
        <v>608000</v>
      </c>
      <c r="C620">
        <v>8.06</v>
      </c>
      <c r="D620" t="s">
        <v>1074</v>
      </c>
      <c r="E620" t="s">
        <v>24</v>
      </c>
      <c r="F620">
        <v>2021</v>
      </c>
      <c r="G620" t="s">
        <v>561</v>
      </c>
    </row>
    <row r="621" spans="1:7">
      <c r="A621" t="s">
        <v>1266</v>
      </c>
      <c r="B621">
        <v>941</v>
      </c>
      <c r="C621">
        <v>6.45</v>
      </c>
      <c r="D621" t="s">
        <v>1267</v>
      </c>
      <c r="E621" t="s">
        <v>1268</v>
      </c>
      <c r="F621">
        <v>2021</v>
      </c>
      <c r="G621" t="s">
        <v>561</v>
      </c>
    </row>
    <row r="622" spans="1:7">
      <c r="A622" t="s">
        <v>1269</v>
      </c>
      <c r="B622">
        <v>390</v>
      </c>
      <c r="C622">
        <v>6.24</v>
      </c>
      <c r="D622" t="s">
        <v>726</v>
      </c>
      <c r="E622" t="s">
        <v>1270</v>
      </c>
      <c r="F622">
        <v>2021</v>
      </c>
      <c r="G622" t="s">
        <v>561</v>
      </c>
    </row>
    <row r="623" spans="1:7">
      <c r="A623" t="s">
        <v>1271</v>
      </c>
      <c r="B623">
        <v>7300</v>
      </c>
      <c r="C623">
        <v>6.53</v>
      </c>
      <c r="D623" t="s">
        <v>1272</v>
      </c>
      <c r="E623" t="s">
        <v>1273</v>
      </c>
      <c r="F623">
        <v>2021</v>
      </c>
      <c r="G623" t="s">
        <v>561</v>
      </c>
    </row>
    <row r="624" spans="1:7">
      <c r="A624" t="s">
        <v>1274</v>
      </c>
      <c r="B624">
        <v>507</v>
      </c>
      <c r="C624">
        <v>6.35</v>
      </c>
      <c r="D624" t="s">
        <v>1275</v>
      </c>
      <c r="E624" t="s">
        <v>1276</v>
      </c>
      <c r="F624">
        <v>2021</v>
      </c>
      <c r="G624" t="s">
        <v>561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D30F0-7971-4FF8-9122-96C208C07B87}">
  <dimension ref="A3:B421"/>
  <sheetViews>
    <sheetView topLeftCell="A28" zoomScaleNormal="100" workbookViewId="0">
      <selection activeCell="A41" sqref="A41"/>
    </sheetView>
  </sheetViews>
  <sheetFormatPr defaultRowHeight="14.4"/>
  <cols>
    <col min="1" max="1" width="56.33203125" bestFit="1" customWidth="1"/>
    <col min="2" max="2" width="22.88671875" bestFit="1" customWidth="1"/>
    <col min="3" max="3" width="11.6640625" bestFit="1" customWidth="1"/>
  </cols>
  <sheetData>
    <row r="3" spans="1:2">
      <c r="A3" s="1" t="s">
        <v>1277</v>
      </c>
      <c r="B3" t="s">
        <v>1279</v>
      </c>
    </row>
    <row r="4" spans="1:2">
      <c r="A4" s="2" t="s">
        <v>1134</v>
      </c>
      <c r="B4">
        <v>8.7899999999999991</v>
      </c>
    </row>
    <row r="5" spans="1:2">
      <c r="A5" s="2" t="s">
        <v>834</v>
      </c>
      <c r="B5">
        <v>8.82</v>
      </c>
    </row>
    <row r="6" spans="1:2">
      <c r="A6" s="2" t="s">
        <v>659</v>
      </c>
      <c r="B6">
        <v>8.85</v>
      </c>
    </row>
    <row r="7" spans="1:2">
      <c r="A7" s="2" t="s">
        <v>283</v>
      </c>
      <c r="B7">
        <v>8.91</v>
      </c>
    </row>
    <row r="8" spans="1:2">
      <c r="A8" s="2" t="s">
        <v>1229</v>
      </c>
      <c r="B8">
        <v>8.94</v>
      </c>
    </row>
    <row r="9" spans="1:2">
      <c r="A9" s="2" t="s">
        <v>7</v>
      </c>
      <c r="B9">
        <v>8.9600000000000009</v>
      </c>
    </row>
    <row r="10" spans="1:2">
      <c r="A10" s="2" t="s">
        <v>1125</v>
      </c>
      <c r="B10">
        <v>8.98</v>
      </c>
    </row>
    <row r="11" spans="1:2">
      <c r="A11" s="2" t="s">
        <v>494</v>
      </c>
      <c r="B11">
        <v>9.09</v>
      </c>
    </row>
    <row r="12" spans="1:2">
      <c r="A12" s="2" t="s">
        <v>184</v>
      </c>
      <c r="B12">
        <v>9.18</v>
      </c>
    </row>
    <row r="13" spans="1:2">
      <c r="A13" s="2" t="s">
        <v>657</v>
      </c>
      <c r="B13">
        <v>9.27</v>
      </c>
    </row>
    <row r="14" spans="1:2">
      <c r="A14" s="2" t="s">
        <v>1278</v>
      </c>
      <c r="B14">
        <v>8.9789999999999992</v>
      </c>
    </row>
    <row r="21" spans="1:2">
      <c r="A21" t="s">
        <v>1279</v>
      </c>
    </row>
    <row r="22" spans="1:2">
      <c r="A22" s="3">
        <v>7.1296308186195789</v>
      </c>
      <c r="B22" s="3">
        <f>GETPIVOTDATA("Rating/Score",$A$21)</f>
        <v>7.1296308186195789</v>
      </c>
    </row>
    <row r="32" spans="1:2">
      <c r="A32" s="1" t="s">
        <v>1277</v>
      </c>
      <c r="B32" t="s">
        <v>1279</v>
      </c>
    </row>
    <row r="33" spans="1:2">
      <c r="A33" s="2" t="s">
        <v>657</v>
      </c>
      <c r="B33">
        <v>9.27</v>
      </c>
    </row>
    <row r="34" spans="1:2">
      <c r="A34" s="4" t="s">
        <v>658</v>
      </c>
      <c r="B34">
        <v>9.27</v>
      </c>
    </row>
    <row r="35" spans="1:2">
      <c r="A35" s="2" t="s">
        <v>1278</v>
      </c>
      <c r="B35">
        <v>9.27</v>
      </c>
    </row>
    <row r="40" spans="1:2">
      <c r="A40" s="1" t="s">
        <v>1277</v>
      </c>
      <c r="B40" t="s">
        <v>1279</v>
      </c>
    </row>
    <row r="41" spans="1:2">
      <c r="A41" s="2" t="s">
        <v>144</v>
      </c>
      <c r="B41">
        <v>7.46</v>
      </c>
    </row>
    <row r="42" spans="1:2">
      <c r="A42" s="2" t="s">
        <v>63</v>
      </c>
      <c r="B42">
        <v>8.41</v>
      </c>
    </row>
    <row r="43" spans="1:2">
      <c r="A43" s="2" t="s">
        <v>299</v>
      </c>
      <c r="B43">
        <v>6.82</v>
      </c>
    </row>
    <row r="44" spans="1:2">
      <c r="A44" s="2" t="s">
        <v>929</v>
      </c>
      <c r="B44">
        <v>7.08</v>
      </c>
    </row>
    <row r="45" spans="1:2">
      <c r="A45" s="2" t="s">
        <v>217</v>
      </c>
      <c r="B45">
        <v>7.375</v>
      </c>
    </row>
    <row r="46" spans="1:2">
      <c r="A46" s="2" t="s">
        <v>333</v>
      </c>
      <c r="B46">
        <v>7.1050000000000004</v>
      </c>
    </row>
    <row r="47" spans="1:2">
      <c r="A47" s="2" t="s">
        <v>183</v>
      </c>
      <c r="B47">
        <v>6.34</v>
      </c>
    </row>
    <row r="48" spans="1:2">
      <c r="A48" s="2" t="s">
        <v>630</v>
      </c>
      <c r="B48">
        <v>6.36</v>
      </c>
    </row>
    <row r="49" spans="1:2">
      <c r="A49" s="2" t="s">
        <v>359</v>
      </c>
      <c r="B49">
        <v>7.57</v>
      </c>
    </row>
    <row r="50" spans="1:2">
      <c r="A50" s="2" t="s">
        <v>852</v>
      </c>
      <c r="B50">
        <v>7.22</v>
      </c>
    </row>
    <row r="51" spans="1:2">
      <c r="A51" s="2" t="s">
        <v>555</v>
      </c>
      <c r="B51">
        <v>6.8</v>
      </c>
    </row>
    <row r="52" spans="1:2">
      <c r="A52" s="2" t="s">
        <v>1095</v>
      </c>
      <c r="B52">
        <v>6.53</v>
      </c>
    </row>
    <row r="53" spans="1:2">
      <c r="A53" s="2" t="s">
        <v>202</v>
      </c>
      <c r="B53">
        <v>8.49</v>
      </c>
    </row>
    <row r="54" spans="1:2">
      <c r="A54" s="2" t="s">
        <v>451</v>
      </c>
      <c r="B54">
        <v>6.99</v>
      </c>
    </row>
    <row r="55" spans="1:2">
      <c r="A55" s="2" t="s">
        <v>696</v>
      </c>
      <c r="B55">
        <v>6.77</v>
      </c>
    </row>
    <row r="56" spans="1:2">
      <c r="A56" s="2" t="s">
        <v>835</v>
      </c>
      <c r="B56">
        <v>8.82</v>
      </c>
    </row>
    <row r="57" spans="1:2">
      <c r="A57" s="2" t="s">
        <v>17</v>
      </c>
      <c r="B57">
        <v>7.0107692307692311</v>
      </c>
    </row>
    <row r="58" spans="1:2">
      <c r="A58" s="2" t="s">
        <v>205</v>
      </c>
      <c r="B58">
        <v>7.5733333333333333</v>
      </c>
    </row>
    <row r="59" spans="1:2">
      <c r="A59" s="2" t="s">
        <v>60</v>
      </c>
      <c r="B59">
        <v>7.5083333333333337</v>
      </c>
    </row>
    <row r="60" spans="1:2">
      <c r="A60" s="2" t="s">
        <v>280</v>
      </c>
      <c r="B60">
        <v>8.36</v>
      </c>
    </row>
    <row r="61" spans="1:2">
      <c r="A61" s="2" t="s">
        <v>1150</v>
      </c>
      <c r="B61">
        <v>6.27</v>
      </c>
    </row>
    <row r="62" spans="1:2">
      <c r="A62" s="2" t="s">
        <v>74</v>
      </c>
      <c r="B62">
        <v>6.18</v>
      </c>
    </row>
    <row r="63" spans="1:2">
      <c r="A63" s="2" t="s">
        <v>984</v>
      </c>
      <c r="B63">
        <v>7.21</v>
      </c>
    </row>
    <row r="64" spans="1:2">
      <c r="A64" s="2" t="s">
        <v>1197</v>
      </c>
      <c r="B64">
        <v>6.24</v>
      </c>
    </row>
    <row r="65" spans="1:2">
      <c r="A65" s="2" t="s">
        <v>642</v>
      </c>
      <c r="B65">
        <v>6.74</v>
      </c>
    </row>
    <row r="66" spans="1:2">
      <c r="A66" s="2" t="s">
        <v>357</v>
      </c>
      <c r="B66">
        <v>7.02</v>
      </c>
    </row>
    <row r="67" spans="1:2">
      <c r="A67" s="2" t="s">
        <v>1267</v>
      </c>
      <c r="B67">
        <v>6.45</v>
      </c>
    </row>
    <row r="68" spans="1:2">
      <c r="A68" s="2" t="s">
        <v>403</v>
      </c>
      <c r="B68">
        <v>6.45</v>
      </c>
    </row>
    <row r="69" spans="1:2">
      <c r="A69" s="2" t="s">
        <v>197</v>
      </c>
      <c r="B69">
        <v>7.0533333333333337</v>
      </c>
    </row>
    <row r="70" spans="1:2">
      <c r="A70" s="2" t="s">
        <v>1031</v>
      </c>
      <c r="B70">
        <v>6.62</v>
      </c>
    </row>
    <row r="71" spans="1:2">
      <c r="A71" s="2" t="s">
        <v>568</v>
      </c>
      <c r="B71">
        <v>6.9779999999999998</v>
      </c>
    </row>
    <row r="72" spans="1:2">
      <c r="A72" s="2" t="s">
        <v>758</v>
      </c>
      <c r="B72">
        <v>6.54</v>
      </c>
    </row>
    <row r="73" spans="1:2">
      <c r="A73" s="2" t="s">
        <v>992</v>
      </c>
      <c r="B73">
        <v>7.44</v>
      </c>
    </row>
    <row r="74" spans="1:2">
      <c r="A74" s="2" t="s">
        <v>924</v>
      </c>
      <c r="B74">
        <v>6.4533333333333331</v>
      </c>
    </row>
    <row r="75" spans="1:2">
      <c r="A75" s="2" t="s">
        <v>868</v>
      </c>
      <c r="B75">
        <v>5.98</v>
      </c>
    </row>
    <row r="76" spans="1:2">
      <c r="A76" s="2" t="s">
        <v>974</v>
      </c>
      <c r="B76">
        <v>6.37</v>
      </c>
    </row>
    <row r="77" spans="1:2">
      <c r="A77" s="2" t="s">
        <v>48</v>
      </c>
      <c r="B77">
        <v>6.583333333333333</v>
      </c>
    </row>
    <row r="78" spans="1:2">
      <c r="A78" s="2" t="s">
        <v>317</v>
      </c>
      <c r="B78">
        <v>6.55</v>
      </c>
    </row>
    <row r="79" spans="1:2">
      <c r="A79" s="2" t="s">
        <v>806</v>
      </c>
      <c r="B79">
        <v>6.9649999999999999</v>
      </c>
    </row>
    <row r="80" spans="1:2">
      <c r="A80" s="2" t="s">
        <v>209</v>
      </c>
      <c r="B80">
        <v>6.8066666666666675</v>
      </c>
    </row>
    <row r="81" spans="1:2">
      <c r="A81" s="2" t="s">
        <v>207</v>
      </c>
      <c r="B81">
        <v>8.36</v>
      </c>
    </row>
    <row r="82" spans="1:2">
      <c r="A82" s="2" t="s">
        <v>820</v>
      </c>
      <c r="B82">
        <v>6.72</v>
      </c>
    </row>
    <row r="83" spans="1:2">
      <c r="A83" s="2" t="s">
        <v>1195</v>
      </c>
      <c r="B83">
        <v>7.6</v>
      </c>
    </row>
    <row r="84" spans="1:2">
      <c r="A84" s="2" t="s">
        <v>147</v>
      </c>
      <c r="B84">
        <v>7.65</v>
      </c>
    </row>
    <row r="85" spans="1:2">
      <c r="A85" s="2" t="s">
        <v>353</v>
      </c>
      <c r="B85">
        <v>8.18</v>
      </c>
    </row>
    <row r="86" spans="1:2">
      <c r="A86" s="2" t="s">
        <v>385</v>
      </c>
      <c r="B86">
        <v>7.12</v>
      </c>
    </row>
    <row r="87" spans="1:2">
      <c r="A87" s="2" t="s">
        <v>723</v>
      </c>
      <c r="B87">
        <v>6.9649999999999999</v>
      </c>
    </row>
    <row r="88" spans="1:2">
      <c r="A88" s="2" t="s">
        <v>396</v>
      </c>
      <c r="B88">
        <v>6.9233333333333329</v>
      </c>
    </row>
    <row r="89" spans="1:2">
      <c r="A89" s="2" t="s">
        <v>185</v>
      </c>
      <c r="B89">
        <v>9.18</v>
      </c>
    </row>
    <row r="90" spans="1:2">
      <c r="A90" s="2" t="s">
        <v>475</v>
      </c>
      <c r="B90">
        <v>7.2</v>
      </c>
    </row>
    <row r="91" spans="1:2">
      <c r="A91" s="2" t="s">
        <v>51</v>
      </c>
      <c r="B91">
        <v>7.3049999999999997</v>
      </c>
    </row>
    <row r="92" spans="1:2">
      <c r="A92" s="2" t="s">
        <v>1074</v>
      </c>
      <c r="B92">
        <v>8.2033333333333331</v>
      </c>
    </row>
    <row r="93" spans="1:2">
      <c r="A93" s="2" t="s">
        <v>15</v>
      </c>
      <c r="B93">
        <v>8.15</v>
      </c>
    </row>
    <row r="94" spans="1:2">
      <c r="A94" s="2" t="s">
        <v>800</v>
      </c>
      <c r="B94">
        <v>8.3149999999999995</v>
      </c>
    </row>
    <row r="95" spans="1:2">
      <c r="A95" s="2" t="s">
        <v>1093</v>
      </c>
      <c r="B95">
        <v>8.42</v>
      </c>
    </row>
    <row r="96" spans="1:2">
      <c r="A96" s="2" t="s">
        <v>497</v>
      </c>
      <c r="B96">
        <v>8.67</v>
      </c>
    </row>
    <row r="97" spans="1:2">
      <c r="A97" s="2" t="s">
        <v>1160</v>
      </c>
      <c r="B97">
        <v>8.51</v>
      </c>
    </row>
    <row r="98" spans="1:2">
      <c r="A98" s="2" t="s">
        <v>563</v>
      </c>
      <c r="B98">
        <v>8.1233333333333348</v>
      </c>
    </row>
    <row r="99" spans="1:2">
      <c r="A99" s="2" t="s">
        <v>282</v>
      </c>
      <c r="B99">
        <v>7.75</v>
      </c>
    </row>
    <row r="100" spans="1:2">
      <c r="A100" s="2" t="s">
        <v>175</v>
      </c>
      <c r="B100">
        <v>6.42</v>
      </c>
    </row>
    <row r="101" spans="1:2">
      <c r="A101" s="2" t="s">
        <v>560</v>
      </c>
      <c r="B101">
        <v>4.75</v>
      </c>
    </row>
    <row r="102" spans="1:2">
      <c r="A102" s="2" t="s">
        <v>599</v>
      </c>
      <c r="B102">
        <v>6.27</v>
      </c>
    </row>
    <row r="103" spans="1:2">
      <c r="A103" s="2" t="s">
        <v>158</v>
      </c>
      <c r="B103">
        <v>7.82</v>
      </c>
    </row>
    <row r="104" spans="1:2">
      <c r="A104" s="2" t="s">
        <v>845</v>
      </c>
      <c r="B104">
        <v>8.1</v>
      </c>
    </row>
    <row r="105" spans="1:2">
      <c r="A105" s="2" t="s">
        <v>781</v>
      </c>
      <c r="B105">
        <v>6.72</v>
      </c>
    </row>
    <row r="106" spans="1:2">
      <c r="A106" s="2" t="s">
        <v>968</v>
      </c>
      <c r="B106">
        <v>6.61</v>
      </c>
    </row>
    <row r="107" spans="1:2">
      <c r="A107" s="2" t="s">
        <v>608</v>
      </c>
      <c r="B107">
        <v>7.6950000000000003</v>
      </c>
    </row>
    <row r="108" spans="1:2">
      <c r="A108" s="2" t="s">
        <v>278</v>
      </c>
      <c r="B108">
        <v>8.34</v>
      </c>
    </row>
    <row r="109" spans="1:2">
      <c r="A109" s="2" t="s">
        <v>873</v>
      </c>
      <c r="B109">
        <v>8.2349999999999994</v>
      </c>
    </row>
    <row r="110" spans="1:2">
      <c r="A110" s="2" t="s">
        <v>255</v>
      </c>
      <c r="B110">
        <v>8.0733333333333324</v>
      </c>
    </row>
    <row r="111" spans="1:2">
      <c r="A111" s="2" t="s">
        <v>1235</v>
      </c>
      <c r="B111">
        <v>6.68</v>
      </c>
    </row>
    <row r="112" spans="1:2">
      <c r="A112" s="2" t="s">
        <v>570</v>
      </c>
      <c r="B112">
        <v>7.36</v>
      </c>
    </row>
    <row r="113" spans="1:2">
      <c r="A113" s="2" t="s">
        <v>977</v>
      </c>
      <c r="B113">
        <v>7.98</v>
      </c>
    </row>
    <row r="114" spans="1:2">
      <c r="A114" s="2" t="s">
        <v>628</v>
      </c>
      <c r="B114">
        <v>7.61</v>
      </c>
    </row>
    <row r="115" spans="1:2">
      <c r="A115" s="2" t="s">
        <v>808</v>
      </c>
      <c r="B115">
        <v>7.98</v>
      </c>
    </row>
    <row r="116" spans="1:2">
      <c r="A116" s="2" t="s">
        <v>1120</v>
      </c>
      <c r="B116">
        <v>5.6349999999999998</v>
      </c>
    </row>
    <row r="117" spans="1:2">
      <c r="A117" s="2" t="s">
        <v>662</v>
      </c>
      <c r="B117">
        <v>7.74</v>
      </c>
    </row>
    <row r="118" spans="1:2">
      <c r="A118" s="2" t="s">
        <v>1122</v>
      </c>
      <c r="B118">
        <v>8.7200000000000006</v>
      </c>
    </row>
    <row r="119" spans="1:2">
      <c r="A119" s="2" t="s">
        <v>418</v>
      </c>
      <c r="B119">
        <v>8.4149999999999991</v>
      </c>
    </row>
    <row r="120" spans="1:2">
      <c r="A120" s="2" t="s">
        <v>513</v>
      </c>
      <c r="B120">
        <v>7.67</v>
      </c>
    </row>
    <row r="121" spans="1:2">
      <c r="A121" s="2" t="s">
        <v>388</v>
      </c>
      <c r="B121">
        <v>6.54</v>
      </c>
    </row>
    <row r="122" spans="1:2">
      <c r="A122" s="2" t="s">
        <v>839</v>
      </c>
      <c r="B122">
        <v>7.7149999999999999</v>
      </c>
    </row>
    <row r="123" spans="1:2">
      <c r="A123" s="2" t="s">
        <v>886</v>
      </c>
      <c r="B123">
        <v>6.69</v>
      </c>
    </row>
    <row r="124" spans="1:2">
      <c r="A124" s="2" t="s">
        <v>1254</v>
      </c>
      <c r="B124">
        <v>7.31</v>
      </c>
    </row>
    <row r="125" spans="1:2">
      <c r="A125" s="2" t="s">
        <v>1248</v>
      </c>
      <c r="B125">
        <v>6.14</v>
      </c>
    </row>
    <row r="126" spans="1:2">
      <c r="A126" s="2" t="s">
        <v>883</v>
      </c>
      <c r="B126">
        <v>7.0549999999999997</v>
      </c>
    </row>
    <row r="127" spans="1:2">
      <c r="A127" s="2" t="s">
        <v>1009</v>
      </c>
      <c r="B127">
        <v>6.57</v>
      </c>
    </row>
    <row r="128" spans="1:2">
      <c r="A128" s="2" t="s">
        <v>1016</v>
      </c>
      <c r="B128">
        <v>8.7799999999999994</v>
      </c>
    </row>
    <row r="129" spans="1:2">
      <c r="A129" s="2" t="s">
        <v>1181</v>
      </c>
      <c r="B129">
        <v>5.41</v>
      </c>
    </row>
    <row r="130" spans="1:2">
      <c r="A130" s="2" t="s">
        <v>448</v>
      </c>
      <c r="B130">
        <v>7.0399999999999991</v>
      </c>
    </row>
    <row r="131" spans="1:2">
      <c r="A131" s="2" t="s">
        <v>632</v>
      </c>
      <c r="B131">
        <v>7.46</v>
      </c>
    </row>
    <row r="132" spans="1:2">
      <c r="A132" s="2" t="s">
        <v>618</v>
      </c>
      <c r="B132">
        <v>6.87</v>
      </c>
    </row>
    <row r="133" spans="1:2">
      <c r="A133" s="2" t="s">
        <v>31</v>
      </c>
      <c r="B133">
        <v>7.44</v>
      </c>
    </row>
    <row r="134" spans="1:2">
      <c r="A134" s="2" t="s">
        <v>495</v>
      </c>
      <c r="B134">
        <v>9.09</v>
      </c>
    </row>
    <row r="135" spans="1:2">
      <c r="A135" s="2" t="s">
        <v>990</v>
      </c>
      <c r="B135">
        <v>6.25</v>
      </c>
    </row>
    <row r="136" spans="1:2">
      <c r="A136" s="2" t="s">
        <v>731</v>
      </c>
      <c r="B136">
        <v>6.5633333333333335</v>
      </c>
    </row>
    <row r="137" spans="1:2">
      <c r="A137" s="2" t="s">
        <v>822</v>
      </c>
      <c r="B137">
        <v>6.79</v>
      </c>
    </row>
    <row r="138" spans="1:2">
      <c r="A138" s="2" t="s">
        <v>1078</v>
      </c>
      <c r="B138">
        <v>5.96</v>
      </c>
    </row>
    <row r="139" spans="1:2">
      <c r="A139" s="2" t="s">
        <v>291</v>
      </c>
      <c r="B139">
        <v>6.583333333333333</v>
      </c>
    </row>
    <row r="140" spans="1:2">
      <c r="A140" s="2" t="s">
        <v>788</v>
      </c>
      <c r="B140">
        <v>6.65</v>
      </c>
    </row>
    <row r="141" spans="1:2">
      <c r="A141" s="2" t="s">
        <v>178</v>
      </c>
      <c r="B141">
        <v>6.73</v>
      </c>
    </row>
    <row r="142" spans="1:2">
      <c r="A142" s="2" t="s">
        <v>1021</v>
      </c>
      <c r="B142">
        <v>8.19</v>
      </c>
    </row>
    <row r="143" spans="1:2">
      <c r="A143" s="2" t="s">
        <v>482</v>
      </c>
      <c r="B143">
        <v>8.61</v>
      </c>
    </row>
    <row r="144" spans="1:2">
      <c r="A144" s="2" t="s">
        <v>249</v>
      </c>
      <c r="B144">
        <v>6.3550000000000004</v>
      </c>
    </row>
    <row r="145" spans="1:2">
      <c r="A145" s="2" t="s">
        <v>653</v>
      </c>
      <c r="B145">
        <v>7.11</v>
      </c>
    </row>
    <row r="146" spans="1:2">
      <c r="A146" s="2" t="s">
        <v>862</v>
      </c>
      <c r="B146">
        <v>6.56</v>
      </c>
    </row>
    <row r="147" spans="1:2">
      <c r="A147" s="2" t="s">
        <v>841</v>
      </c>
      <c r="B147">
        <v>6.83</v>
      </c>
    </row>
    <row r="148" spans="1:2">
      <c r="A148" s="2" t="s">
        <v>755</v>
      </c>
      <c r="B148">
        <v>6.48</v>
      </c>
    </row>
    <row r="149" spans="1:2">
      <c r="A149" s="2" t="s">
        <v>361</v>
      </c>
      <c r="B149">
        <v>6.8149999999999995</v>
      </c>
    </row>
    <row r="150" spans="1:2">
      <c r="A150" s="2" t="s">
        <v>637</v>
      </c>
      <c r="B150">
        <v>6.07</v>
      </c>
    </row>
    <row r="151" spans="1:2">
      <c r="A151" s="2" t="s">
        <v>1107</v>
      </c>
      <c r="B151">
        <v>7.73</v>
      </c>
    </row>
    <row r="152" spans="1:2">
      <c r="A152" s="2" t="s">
        <v>123</v>
      </c>
      <c r="B152">
        <v>6.27</v>
      </c>
    </row>
    <row r="153" spans="1:2">
      <c r="A153" s="2" t="s">
        <v>338</v>
      </c>
      <c r="B153">
        <v>6.5642857142857141</v>
      </c>
    </row>
    <row r="154" spans="1:2">
      <c r="A154" s="2" t="s">
        <v>428</v>
      </c>
      <c r="B154">
        <v>8.0050000000000008</v>
      </c>
    </row>
    <row r="155" spans="1:2">
      <c r="A155" s="2" t="s">
        <v>1256</v>
      </c>
      <c r="B155">
        <v>7.16</v>
      </c>
    </row>
    <row r="156" spans="1:2">
      <c r="A156" s="2" t="s">
        <v>511</v>
      </c>
      <c r="B156">
        <v>7.71</v>
      </c>
    </row>
    <row r="157" spans="1:2">
      <c r="A157" s="2" t="s">
        <v>23</v>
      </c>
      <c r="B157">
        <v>8.14</v>
      </c>
    </row>
    <row r="158" spans="1:2">
      <c r="A158" s="2" t="s">
        <v>422</v>
      </c>
      <c r="B158">
        <v>7.8849999999999998</v>
      </c>
    </row>
    <row r="159" spans="1:2">
      <c r="A159" s="2" t="s">
        <v>367</v>
      </c>
      <c r="B159">
        <v>6.2</v>
      </c>
    </row>
    <row r="160" spans="1:2">
      <c r="A160" s="2" t="s">
        <v>26</v>
      </c>
      <c r="B160">
        <v>8.39</v>
      </c>
    </row>
    <row r="161" spans="1:2">
      <c r="A161" s="2" t="s">
        <v>548</v>
      </c>
      <c r="B161">
        <v>6.57</v>
      </c>
    </row>
    <row r="162" spans="1:2">
      <c r="A162" s="2" t="s">
        <v>193</v>
      </c>
      <c r="B162">
        <v>7.51</v>
      </c>
    </row>
    <row r="163" spans="1:2">
      <c r="A163" s="2" t="s">
        <v>1085</v>
      </c>
      <c r="B163">
        <v>6.32</v>
      </c>
    </row>
    <row r="164" spans="1:2">
      <c r="A164" s="2" t="s">
        <v>120</v>
      </c>
      <c r="B164">
        <v>7.2</v>
      </c>
    </row>
    <row r="165" spans="1:2">
      <c r="A165" s="2" t="s">
        <v>1164</v>
      </c>
      <c r="B165">
        <v>6.68</v>
      </c>
    </row>
    <row r="166" spans="1:2">
      <c r="A166" s="2" t="s">
        <v>170</v>
      </c>
      <c r="B166">
        <v>6.38</v>
      </c>
    </row>
    <row r="167" spans="1:2">
      <c r="A167" s="2" t="s">
        <v>843</v>
      </c>
      <c r="B167">
        <v>8.42</v>
      </c>
    </row>
    <row r="168" spans="1:2">
      <c r="A168" s="2" t="s">
        <v>132</v>
      </c>
      <c r="B168">
        <v>7.55</v>
      </c>
    </row>
    <row r="169" spans="1:2">
      <c r="A169" s="2" t="s">
        <v>553</v>
      </c>
      <c r="B169">
        <v>7.41</v>
      </c>
    </row>
    <row r="170" spans="1:2">
      <c r="A170" s="2" t="s">
        <v>577</v>
      </c>
      <c r="B170">
        <v>7.46</v>
      </c>
    </row>
    <row r="171" spans="1:2">
      <c r="A171" s="2" t="s">
        <v>995</v>
      </c>
      <c r="B171">
        <v>8.44</v>
      </c>
    </row>
    <row r="172" spans="1:2">
      <c r="A172" s="2" t="s">
        <v>1152</v>
      </c>
      <c r="B172">
        <v>7.36</v>
      </c>
    </row>
    <row r="173" spans="1:2">
      <c r="A173" s="2" t="s">
        <v>103</v>
      </c>
      <c r="B173">
        <v>6.59</v>
      </c>
    </row>
    <row r="174" spans="1:2">
      <c r="A174" s="2" t="s">
        <v>766</v>
      </c>
      <c r="B174">
        <v>7.32</v>
      </c>
    </row>
    <row r="175" spans="1:2">
      <c r="A175" s="2" t="s">
        <v>566</v>
      </c>
      <c r="B175">
        <v>8.3566666666666674</v>
      </c>
    </row>
    <row r="176" spans="1:2">
      <c r="A176" s="2" t="s">
        <v>543</v>
      </c>
      <c r="B176">
        <v>6.4233333333333329</v>
      </c>
    </row>
    <row r="177" spans="1:2">
      <c r="A177" s="2" t="s">
        <v>234</v>
      </c>
      <c r="B177">
        <v>6.91</v>
      </c>
    </row>
    <row r="178" spans="1:2">
      <c r="A178" s="2" t="s">
        <v>187</v>
      </c>
      <c r="B178">
        <v>8.5</v>
      </c>
    </row>
    <row r="179" spans="1:2">
      <c r="A179" s="2" t="s">
        <v>1228</v>
      </c>
      <c r="B179">
        <v>8.3800000000000008</v>
      </c>
    </row>
    <row r="180" spans="1:2">
      <c r="A180" s="2" t="s">
        <v>37</v>
      </c>
      <c r="B180">
        <v>7.38</v>
      </c>
    </row>
    <row r="181" spans="1:2">
      <c r="A181" s="2" t="s">
        <v>744</v>
      </c>
      <c r="B181">
        <v>8.3533333333333335</v>
      </c>
    </row>
    <row r="182" spans="1:2">
      <c r="A182" s="2" t="s">
        <v>634</v>
      </c>
      <c r="B182">
        <v>7.12</v>
      </c>
    </row>
    <row r="183" spans="1:2">
      <c r="A183" s="2" t="s">
        <v>12</v>
      </c>
      <c r="B183">
        <v>8.67</v>
      </c>
    </row>
    <row r="184" spans="1:2">
      <c r="A184" s="2" t="s">
        <v>34</v>
      </c>
      <c r="B184">
        <v>6.71</v>
      </c>
    </row>
    <row r="185" spans="1:2">
      <c r="A185" s="2" t="s">
        <v>1046</v>
      </c>
      <c r="B185">
        <v>5.93</v>
      </c>
    </row>
    <row r="186" spans="1:2">
      <c r="A186" s="2" t="s">
        <v>658</v>
      </c>
      <c r="B186">
        <v>9.27</v>
      </c>
    </row>
    <row r="187" spans="1:2">
      <c r="A187" s="2" t="s">
        <v>1207</v>
      </c>
      <c r="B187">
        <v>6.15</v>
      </c>
    </row>
    <row r="188" spans="1:2">
      <c r="A188" s="2" t="s">
        <v>374</v>
      </c>
      <c r="B188">
        <v>6.46</v>
      </c>
    </row>
    <row r="189" spans="1:2">
      <c r="A189" s="2" t="s">
        <v>314</v>
      </c>
      <c r="B189">
        <v>6.58</v>
      </c>
    </row>
    <row r="190" spans="1:2">
      <c r="A190" s="2" t="s">
        <v>572</v>
      </c>
      <c r="B190">
        <v>7.66</v>
      </c>
    </row>
    <row r="191" spans="1:2">
      <c r="A191" s="2" t="s">
        <v>602</v>
      </c>
      <c r="B191">
        <v>8.59</v>
      </c>
    </row>
    <row r="192" spans="1:2">
      <c r="A192" s="2" t="s">
        <v>830</v>
      </c>
      <c r="B192">
        <v>6.8</v>
      </c>
    </row>
    <row r="193" spans="1:2">
      <c r="A193" s="2" t="s">
        <v>272</v>
      </c>
      <c r="B193">
        <v>6.9</v>
      </c>
    </row>
    <row r="194" spans="1:2">
      <c r="A194" s="2" t="s">
        <v>701</v>
      </c>
      <c r="B194">
        <v>7.7949999999999999</v>
      </c>
    </row>
    <row r="195" spans="1:2">
      <c r="A195" s="2" t="s">
        <v>962</v>
      </c>
      <c r="B195">
        <v>6.39</v>
      </c>
    </row>
    <row r="196" spans="1:2">
      <c r="A196" s="2" t="s">
        <v>149</v>
      </c>
      <c r="B196">
        <v>8.18</v>
      </c>
    </row>
    <row r="197" spans="1:2">
      <c r="A197" s="2" t="s">
        <v>261</v>
      </c>
      <c r="B197">
        <v>8.2149999999999981</v>
      </c>
    </row>
    <row r="198" spans="1:2">
      <c r="A198" s="2" t="s">
        <v>747</v>
      </c>
      <c r="B198">
        <v>8.043333333333333</v>
      </c>
    </row>
    <row r="199" spans="1:2">
      <c r="A199" s="2" t="s">
        <v>1061</v>
      </c>
      <c r="B199">
        <v>8.6</v>
      </c>
    </row>
    <row r="200" spans="1:2">
      <c r="A200" s="2" t="s">
        <v>864</v>
      </c>
      <c r="B200">
        <v>7.49</v>
      </c>
    </row>
    <row r="201" spans="1:2">
      <c r="A201" s="2" t="s">
        <v>8</v>
      </c>
      <c r="B201">
        <v>8.9600000000000009</v>
      </c>
    </row>
    <row r="202" spans="1:2">
      <c r="A202" s="2" t="s">
        <v>713</v>
      </c>
      <c r="B202">
        <v>8.1199999999999992</v>
      </c>
    </row>
    <row r="203" spans="1:2">
      <c r="A203" s="2" t="s">
        <v>152</v>
      </c>
      <c r="B203">
        <v>7.9766666666666666</v>
      </c>
    </row>
    <row r="204" spans="1:2">
      <c r="A204" s="2" t="s">
        <v>327</v>
      </c>
      <c r="B204">
        <v>6.8639999999999999</v>
      </c>
    </row>
    <row r="205" spans="1:2">
      <c r="A205" s="2" t="s">
        <v>453</v>
      </c>
      <c r="B205">
        <v>7.51</v>
      </c>
    </row>
    <row r="206" spans="1:2">
      <c r="A206" s="2" t="s">
        <v>445</v>
      </c>
      <c r="B206">
        <v>7.06</v>
      </c>
    </row>
    <row r="207" spans="1:2">
      <c r="A207" s="2" t="s">
        <v>639</v>
      </c>
      <c r="B207">
        <v>7.57</v>
      </c>
    </row>
    <row r="208" spans="1:2">
      <c r="A208" s="2" t="s">
        <v>741</v>
      </c>
      <c r="B208">
        <v>6.67</v>
      </c>
    </row>
    <row r="209" spans="1:2">
      <c r="A209" s="2" t="s">
        <v>311</v>
      </c>
      <c r="B209">
        <v>6.61</v>
      </c>
    </row>
    <row r="210" spans="1:2">
      <c r="A210" s="2" t="s">
        <v>456</v>
      </c>
      <c r="B210">
        <v>6.8566666666666665</v>
      </c>
    </row>
    <row r="211" spans="1:2">
      <c r="A211" s="2" t="s">
        <v>336</v>
      </c>
      <c r="B211">
        <v>7.16</v>
      </c>
    </row>
    <row r="212" spans="1:2">
      <c r="A212" s="2" t="s">
        <v>1263</v>
      </c>
      <c r="B212">
        <v>6.16</v>
      </c>
    </row>
    <row r="213" spans="1:2">
      <c r="A213" s="2" t="s">
        <v>753</v>
      </c>
      <c r="B213">
        <v>6.82</v>
      </c>
    </row>
    <row r="214" spans="1:2">
      <c r="A214" s="2" t="s">
        <v>463</v>
      </c>
      <c r="B214">
        <v>6.57</v>
      </c>
    </row>
    <row r="215" spans="1:2">
      <c r="A215" s="2" t="s">
        <v>946</v>
      </c>
      <c r="B215">
        <v>8.2100000000000009</v>
      </c>
    </row>
    <row r="216" spans="1:2">
      <c r="A216" s="2" t="s">
        <v>1130</v>
      </c>
      <c r="B216">
        <v>8.24</v>
      </c>
    </row>
    <row r="217" spans="1:2">
      <c r="A217" s="2" t="s">
        <v>803</v>
      </c>
      <c r="B217">
        <v>5.67</v>
      </c>
    </row>
    <row r="218" spans="1:2">
      <c r="A218" s="2" t="s">
        <v>138</v>
      </c>
      <c r="B218">
        <v>5.7149999999999999</v>
      </c>
    </row>
    <row r="219" spans="1:2">
      <c r="A219" s="2" t="s">
        <v>1232</v>
      </c>
      <c r="B219">
        <v>8.6300000000000008</v>
      </c>
    </row>
    <row r="220" spans="1:2">
      <c r="A220" s="2" t="s">
        <v>791</v>
      </c>
      <c r="B220">
        <v>8.6199999999999992</v>
      </c>
    </row>
    <row r="221" spans="1:2">
      <c r="A221" s="2" t="s">
        <v>942</v>
      </c>
      <c r="B221">
        <v>8.5399999999999991</v>
      </c>
    </row>
    <row r="222" spans="1:2">
      <c r="A222" s="2" t="s">
        <v>1275</v>
      </c>
      <c r="B222">
        <v>6.35</v>
      </c>
    </row>
    <row r="223" spans="1:2">
      <c r="A223" s="2" t="s">
        <v>922</v>
      </c>
      <c r="B223">
        <v>6.62</v>
      </c>
    </row>
    <row r="224" spans="1:2">
      <c r="A224" s="2" t="s">
        <v>383</v>
      </c>
      <c r="B224">
        <v>5.76</v>
      </c>
    </row>
    <row r="225" spans="1:2">
      <c r="A225" s="2" t="s">
        <v>129</v>
      </c>
      <c r="B225">
        <v>5.68</v>
      </c>
    </row>
    <row r="226" spans="1:2">
      <c r="A226" s="2" t="s">
        <v>72</v>
      </c>
      <c r="B226">
        <v>7.18</v>
      </c>
    </row>
    <row r="227" spans="1:2">
      <c r="A227" s="2" t="s">
        <v>783</v>
      </c>
      <c r="B227">
        <v>5.7650000000000006</v>
      </c>
    </row>
    <row r="228" spans="1:2">
      <c r="A228" s="2" t="s">
        <v>1026</v>
      </c>
      <c r="B228">
        <v>8.19</v>
      </c>
    </row>
    <row r="229" spans="1:2">
      <c r="A229" s="2" t="s">
        <v>167</v>
      </c>
      <c r="B229">
        <v>5.9107142857142856</v>
      </c>
    </row>
    <row r="230" spans="1:2">
      <c r="A230" s="2" t="s">
        <v>112</v>
      </c>
      <c r="B230">
        <v>6.76</v>
      </c>
    </row>
    <row r="231" spans="1:2">
      <c r="A231" s="2" t="s">
        <v>442</v>
      </c>
      <c r="B231">
        <v>7.88</v>
      </c>
    </row>
    <row r="232" spans="1:2">
      <c r="A232" s="2" t="s">
        <v>1105</v>
      </c>
      <c r="B232">
        <v>8.09</v>
      </c>
    </row>
    <row r="233" spans="1:2">
      <c r="A233" s="2" t="s">
        <v>593</v>
      </c>
      <c r="B233">
        <v>6.27</v>
      </c>
    </row>
    <row r="234" spans="1:2">
      <c r="A234" s="2" t="s">
        <v>1155</v>
      </c>
      <c r="B234">
        <v>7.38</v>
      </c>
    </row>
    <row r="235" spans="1:2">
      <c r="A235" s="2" t="s">
        <v>1124</v>
      </c>
      <c r="B235">
        <v>8.73</v>
      </c>
    </row>
    <row r="236" spans="1:2">
      <c r="A236" s="2" t="s">
        <v>466</v>
      </c>
      <c r="B236">
        <v>6.71</v>
      </c>
    </row>
    <row r="237" spans="1:2">
      <c r="A237" s="2" t="s">
        <v>708</v>
      </c>
      <c r="B237">
        <v>7.41</v>
      </c>
    </row>
    <row r="238" spans="1:2">
      <c r="A238" s="2" t="s">
        <v>406</v>
      </c>
      <c r="B238">
        <v>6.52</v>
      </c>
    </row>
    <row r="239" spans="1:2">
      <c r="A239" s="2" t="s">
        <v>473</v>
      </c>
      <c r="B239">
        <v>7.6950000000000003</v>
      </c>
    </row>
    <row r="240" spans="1:2">
      <c r="A240" s="2" t="s">
        <v>877</v>
      </c>
      <c r="B240">
        <v>7.75</v>
      </c>
    </row>
    <row r="241" spans="1:2">
      <c r="A241" s="2" t="s">
        <v>522</v>
      </c>
      <c r="B241">
        <v>6.7949999999999999</v>
      </c>
    </row>
    <row r="242" spans="1:2">
      <c r="A242" s="2" t="s">
        <v>82</v>
      </c>
      <c r="B242">
        <v>7.36</v>
      </c>
    </row>
    <row r="243" spans="1:2">
      <c r="A243" s="2" t="s">
        <v>677</v>
      </c>
      <c r="B243">
        <v>6.23</v>
      </c>
    </row>
    <row r="244" spans="1:2">
      <c r="A244" s="2" t="s">
        <v>971</v>
      </c>
      <c r="B244">
        <v>6.5</v>
      </c>
    </row>
    <row r="245" spans="1:2">
      <c r="A245" s="2" t="s">
        <v>720</v>
      </c>
      <c r="B245">
        <v>5.85</v>
      </c>
    </row>
    <row r="246" spans="1:2">
      <c r="A246" s="2" t="s">
        <v>1216</v>
      </c>
      <c r="B246">
        <v>6.01</v>
      </c>
    </row>
    <row r="247" spans="1:2">
      <c r="A247" s="2" t="s">
        <v>275</v>
      </c>
      <c r="B247">
        <v>7.13</v>
      </c>
    </row>
    <row r="248" spans="1:2">
      <c r="A248" s="2" t="s">
        <v>40</v>
      </c>
      <c r="B248">
        <v>6.23</v>
      </c>
    </row>
    <row r="249" spans="1:2">
      <c r="A249" s="2" t="s">
        <v>915</v>
      </c>
      <c r="B249">
        <v>7.6050000000000004</v>
      </c>
    </row>
    <row r="250" spans="1:2">
      <c r="A250" s="2" t="s">
        <v>265</v>
      </c>
      <c r="B250">
        <v>7.99</v>
      </c>
    </row>
    <row r="251" spans="1:2">
      <c r="A251" s="2" t="s">
        <v>141</v>
      </c>
      <c r="B251">
        <v>5.63</v>
      </c>
    </row>
    <row r="252" spans="1:2">
      <c r="A252" s="2" t="s">
        <v>699</v>
      </c>
      <c r="B252">
        <v>6.95</v>
      </c>
    </row>
    <row r="253" spans="1:2">
      <c r="A253" s="2" t="s">
        <v>243</v>
      </c>
      <c r="B253">
        <v>8.07</v>
      </c>
    </row>
    <row r="254" spans="1:2">
      <c r="A254" s="2" t="s">
        <v>933</v>
      </c>
      <c r="B254">
        <v>6.34</v>
      </c>
    </row>
    <row r="255" spans="1:2">
      <c r="A255" s="2" t="s">
        <v>832</v>
      </c>
      <c r="B255">
        <v>6.79</v>
      </c>
    </row>
    <row r="256" spans="1:2">
      <c r="A256" s="2" t="s">
        <v>118</v>
      </c>
      <c r="B256">
        <v>7.1</v>
      </c>
    </row>
    <row r="257" spans="1:2">
      <c r="A257" s="2" t="s">
        <v>1189</v>
      </c>
      <c r="B257">
        <v>6.43</v>
      </c>
    </row>
    <row r="258" spans="1:2">
      <c r="A258" s="2" t="s">
        <v>540</v>
      </c>
      <c r="B258">
        <v>6.2349999999999994</v>
      </c>
    </row>
    <row r="259" spans="1:2">
      <c r="A259" s="2" t="s">
        <v>1244</v>
      </c>
      <c r="B259">
        <v>5.95</v>
      </c>
    </row>
    <row r="260" spans="1:2">
      <c r="A260" s="2" t="s">
        <v>1054</v>
      </c>
      <c r="B260">
        <v>5.53</v>
      </c>
    </row>
    <row r="261" spans="1:2">
      <c r="A261" s="2" t="s">
        <v>293</v>
      </c>
      <c r="B261">
        <v>6.74</v>
      </c>
    </row>
    <row r="262" spans="1:2">
      <c r="A262" s="2" t="s">
        <v>1224</v>
      </c>
      <c r="B262">
        <v>7.18</v>
      </c>
    </row>
    <row r="263" spans="1:2">
      <c r="A263" s="2" t="s">
        <v>1117</v>
      </c>
      <c r="B263">
        <v>7.9049999999999994</v>
      </c>
    </row>
    <row r="264" spans="1:2">
      <c r="A264" s="2" t="s">
        <v>288</v>
      </c>
      <c r="B264">
        <v>7.7850000000000001</v>
      </c>
    </row>
    <row r="265" spans="1:2">
      <c r="A265" s="2" t="s">
        <v>302</v>
      </c>
      <c r="B265">
        <v>7.5</v>
      </c>
    </row>
    <row r="266" spans="1:2">
      <c r="A266" s="2" t="s">
        <v>460</v>
      </c>
      <c r="B266">
        <v>6.6033333333333326</v>
      </c>
    </row>
    <row r="267" spans="1:2">
      <c r="A267" s="2" t="s">
        <v>1127</v>
      </c>
      <c r="B267">
        <v>7.24</v>
      </c>
    </row>
    <row r="268" spans="1:2">
      <c r="A268" s="2" t="s">
        <v>964</v>
      </c>
      <c r="B268">
        <v>7.32</v>
      </c>
    </row>
    <row r="269" spans="1:2">
      <c r="A269" s="2" t="s">
        <v>913</v>
      </c>
      <c r="B269">
        <v>6.69</v>
      </c>
    </row>
    <row r="270" spans="1:2">
      <c r="A270" s="2" t="s">
        <v>520</v>
      </c>
      <c r="B270">
        <v>6.18</v>
      </c>
    </row>
    <row r="271" spans="1:2">
      <c r="A271" s="2" t="s">
        <v>135</v>
      </c>
      <c r="B271">
        <v>5.7</v>
      </c>
    </row>
    <row r="272" spans="1:2">
      <c r="A272" s="2" t="s">
        <v>458</v>
      </c>
      <c r="B272">
        <v>7.34</v>
      </c>
    </row>
    <row r="273" spans="1:2">
      <c r="A273" s="2" t="s">
        <v>155</v>
      </c>
      <c r="B273">
        <v>7.43</v>
      </c>
    </row>
    <row r="274" spans="1:2">
      <c r="A274" s="2" t="s">
        <v>43</v>
      </c>
      <c r="B274">
        <v>7.003333333333333</v>
      </c>
    </row>
    <row r="275" spans="1:2">
      <c r="A275" s="2" t="s">
        <v>330</v>
      </c>
      <c r="B275">
        <v>7.1</v>
      </c>
    </row>
    <row r="276" spans="1:2">
      <c r="A276" s="2" t="s">
        <v>849</v>
      </c>
      <c r="B276">
        <v>7.44</v>
      </c>
    </row>
    <row r="277" spans="1:2">
      <c r="A277" s="2" t="s">
        <v>309</v>
      </c>
      <c r="B277">
        <v>7.4399999999999995</v>
      </c>
    </row>
    <row r="278" spans="1:2">
      <c r="A278" s="2" t="s">
        <v>268</v>
      </c>
      <c r="B278">
        <v>7.492</v>
      </c>
    </row>
    <row r="279" spans="1:2">
      <c r="A279" s="2" t="s">
        <v>616</v>
      </c>
      <c r="B279">
        <v>8.4499999999999993</v>
      </c>
    </row>
    <row r="280" spans="1:2">
      <c r="A280" s="2" t="s">
        <v>597</v>
      </c>
      <c r="B280">
        <v>6.07</v>
      </c>
    </row>
    <row r="281" spans="1:2">
      <c r="A281" s="2" t="s">
        <v>920</v>
      </c>
      <c r="B281">
        <v>7.77</v>
      </c>
    </row>
    <row r="282" spans="1:2">
      <c r="A282" s="2" t="s">
        <v>760</v>
      </c>
      <c r="B282">
        <v>7.45</v>
      </c>
    </row>
    <row r="283" spans="1:2">
      <c r="A283" s="2" t="s">
        <v>364</v>
      </c>
      <c r="B283">
        <v>7.54</v>
      </c>
    </row>
    <row r="284" spans="1:2">
      <c r="A284" s="2" t="s">
        <v>270</v>
      </c>
      <c r="B284">
        <v>7.29</v>
      </c>
    </row>
    <row r="285" spans="1:2">
      <c r="A285" s="2" t="s">
        <v>173</v>
      </c>
      <c r="B285">
        <v>7.7149999999999999</v>
      </c>
    </row>
    <row r="286" spans="1:2">
      <c r="A286" s="2" t="s">
        <v>531</v>
      </c>
      <c r="B286">
        <v>6.9349999999999996</v>
      </c>
    </row>
    <row r="287" spans="1:2">
      <c r="A287" s="2" t="s">
        <v>557</v>
      </c>
      <c r="B287">
        <v>6.6</v>
      </c>
    </row>
    <row r="288" spans="1:2">
      <c r="A288" s="2" t="s">
        <v>240</v>
      </c>
      <c r="B288">
        <v>7.08</v>
      </c>
    </row>
    <row r="289" spans="1:2">
      <c r="A289" s="2" t="s">
        <v>503</v>
      </c>
      <c r="B289">
        <v>7.21</v>
      </c>
    </row>
    <row r="290" spans="1:2">
      <c r="A290" s="2" t="s">
        <v>380</v>
      </c>
      <c r="B290">
        <v>5.9</v>
      </c>
    </row>
    <row r="291" spans="1:2">
      <c r="A291" s="2" t="s">
        <v>1115</v>
      </c>
      <c r="B291">
        <v>5.99</v>
      </c>
    </row>
    <row r="292" spans="1:2">
      <c r="A292" s="2" t="s">
        <v>908</v>
      </c>
      <c r="B292">
        <v>6.67</v>
      </c>
    </row>
    <row r="293" spans="1:2">
      <c r="A293" s="2" t="s">
        <v>898</v>
      </c>
      <c r="B293">
        <v>7.7</v>
      </c>
    </row>
    <row r="294" spans="1:2">
      <c r="A294" s="2" t="s">
        <v>1006</v>
      </c>
      <c r="B294">
        <v>5.73</v>
      </c>
    </row>
    <row r="295" spans="1:2">
      <c r="A295" s="2" t="s">
        <v>237</v>
      </c>
      <c r="B295">
        <v>6.4399999999999995</v>
      </c>
    </row>
    <row r="296" spans="1:2">
      <c r="A296" s="2" t="s">
        <v>672</v>
      </c>
      <c r="B296">
        <v>6.3</v>
      </c>
    </row>
    <row r="297" spans="1:2">
      <c r="A297" s="2" t="s">
        <v>94</v>
      </c>
      <c r="B297">
        <v>6.8</v>
      </c>
    </row>
    <row r="298" spans="1:2">
      <c r="A298" s="2" t="s">
        <v>296</v>
      </c>
      <c r="B298">
        <v>7.55</v>
      </c>
    </row>
    <row r="299" spans="1:2">
      <c r="A299" s="2" t="s">
        <v>957</v>
      </c>
      <c r="B299">
        <v>7.77</v>
      </c>
    </row>
    <row r="300" spans="1:2">
      <c r="A300" s="2" t="s">
        <v>345</v>
      </c>
      <c r="B300">
        <v>8.43</v>
      </c>
    </row>
    <row r="301" spans="1:2">
      <c r="A301" s="2" t="s">
        <v>581</v>
      </c>
      <c r="B301">
        <v>7.45</v>
      </c>
    </row>
    <row r="302" spans="1:2">
      <c r="A302" s="2" t="s">
        <v>726</v>
      </c>
      <c r="B302">
        <v>6.78</v>
      </c>
    </row>
    <row r="303" spans="1:2">
      <c r="A303" s="2" t="s">
        <v>351</v>
      </c>
      <c r="B303">
        <v>8.7200000000000006</v>
      </c>
    </row>
    <row r="304" spans="1:2">
      <c r="A304" s="2" t="s">
        <v>736</v>
      </c>
      <c r="B304">
        <v>5.9</v>
      </c>
    </row>
    <row r="305" spans="1:2">
      <c r="A305" s="2" t="s">
        <v>762</v>
      </c>
      <c r="B305">
        <v>7.75</v>
      </c>
    </row>
    <row r="306" spans="1:2">
      <c r="A306" s="2" t="s">
        <v>164</v>
      </c>
      <c r="B306">
        <v>7.52</v>
      </c>
    </row>
    <row r="307" spans="1:2">
      <c r="A307" s="2" t="s">
        <v>284</v>
      </c>
      <c r="B307">
        <v>8.879999999999999</v>
      </c>
    </row>
    <row r="308" spans="1:2">
      <c r="A308" s="2" t="s">
        <v>1088</v>
      </c>
      <c r="B308">
        <v>7.97</v>
      </c>
    </row>
    <row r="309" spans="1:2">
      <c r="A309" s="2" t="s">
        <v>917</v>
      </c>
      <c r="B309">
        <v>8.6199999999999992</v>
      </c>
    </row>
    <row r="310" spans="1:2">
      <c r="A310" s="2" t="s">
        <v>100</v>
      </c>
      <c r="B310">
        <v>7.81</v>
      </c>
    </row>
    <row r="311" spans="1:2">
      <c r="A311" s="2" t="s">
        <v>20</v>
      </c>
      <c r="B311">
        <v>8.625</v>
      </c>
    </row>
    <row r="312" spans="1:2">
      <c r="A312" s="2" t="s">
        <v>1226</v>
      </c>
      <c r="B312">
        <v>7.26</v>
      </c>
    </row>
    <row r="313" spans="1:2">
      <c r="A313" s="2" t="s">
        <v>190</v>
      </c>
      <c r="B313">
        <v>8.52</v>
      </c>
    </row>
    <row r="314" spans="1:2">
      <c r="A314" s="2" t="s">
        <v>1191</v>
      </c>
      <c r="B314">
        <v>7.38</v>
      </c>
    </row>
    <row r="315" spans="1:2">
      <c r="A315" s="2" t="s">
        <v>469</v>
      </c>
      <c r="B315">
        <v>7.37</v>
      </c>
    </row>
    <row r="316" spans="1:2">
      <c r="A316" s="2" t="s">
        <v>115</v>
      </c>
      <c r="B316">
        <v>6.21</v>
      </c>
    </row>
    <row r="317" spans="1:2">
      <c r="A317" s="2" t="s">
        <v>426</v>
      </c>
      <c r="B317">
        <v>7.8149999999999995</v>
      </c>
    </row>
    <row r="318" spans="1:2">
      <c r="A318" s="2" t="s">
        <v>440</v>
      </c>
      <c r="B318">
        <v>8.17</v>
      </c>
    </row>
    <row r="319" spans="1:2">
      <c r="A319" s="2" t="s">
        <v>1230</v>
      </c>
      <c r="B319">
        <v>8.94</v>
      </c>
    </row>
    <row r="320" spans="1:2">
      <c r="A320" s="2" t="s">
        <v>954</v>
      </c>
      <c r="B320">
        <v>8.11</v>
      </c>
    </row>
    <row r="321" spans="1:2">
      <c r="A321" s="2" t="s">
        <v>1259</v>
      </c>
      <c r="B321">
        <v>7.79</v>
      </c>
    </row>
    <row r="322" spans="1:2">
      <c r="A322" s="2" t="s">
        <v>894</v>
      </c>
      <c r="B322">
        <v>5.88</v>
      </c>
    </row>
    <row r="323" spans="1:2">
      <c r="A323" s="2" t="s">
        <v>1034</v>
      </c>
      <c r="B323">
        <v>8.5350000000000001</v>
      </c>
    </row>
    <row r="324" spans="1:2">
      <c r="A324" s="2" t="s">
        <v>477</v>
      </c>
      <c r="B324">
        <v>8.76</v>
      </c>
    </row>
    <row r="325" spans="1:2">
      <c r="A325" s="2" t="s">
        <v>500</v>
      </c>
      <c r="B325">
        <v>8.35</v>
      </c>
    </row>
    <row r="326" spans="1:2">
      <c r="A326" s="2" t="s">
        <v>526</v>
      </c>
      <c r="B326">
        <v>8.625</v>
      </c>
    </row>
    <row r="327" spans="1:2">
      <c r="A327" s="2" t="s">
        <v>88</v>
      </c>
      <c r="B327">
        <v>8.4250000000000007</v>
      </c>
    </row>
    <row r="328" spans="1:2">
      <c r="A328" s="2" t="s">
        <v>106</v>
      </c>
      <c r="B328">
        <v>6.52</v>
      </c>
    </row>
    <row r="329" spans="1:2">
      <c r="A329" s="2" t="s">
        <v>1036</v>
      </c>
      <c r="B329">
        <v>6.02</v>
      </c>
    </row>
    <row r="330" spans="1:2">
      <c r="A330" s="2" t="s">
        <v>1140</v>
      </c>
      <c r="B330">
        <v>6.35</v>
      </c>
    </row>
    <row r="331" spans="1:2">
      <c r="A331" s="2" t="s">
        <v>1146</v>
      </c>
      <c r="B331">
        <v>7.75</v>
      </c>
    </row>
    <row r="332" spans="1:2">
      <c r="A332" s="2" t="s">
        <v>1056</v>
      </c>
      <c r="B332">
        <v>8.0500000000000007</v>
      </c>
    </row>
    <row r="333" spans="1:2">
      <c r="A333" s="2" t="s">
        <v>605</v>
      </c>
      <c r="B333">
        <v>7.93</v>
      </c>
    </row>
    <row r="334" spans="1:2">
      <c r="A334" s="2" t="s">
        <v>57</v>
      </c>
      <c r="B334">
        <v>6.6980000000000004</v>
      </c>
    </row>
    <row r="335" spans="1:2">
      <c r="A335" s="2" t="s">
        <v>857</v>
      </c>
      <c r="B335">
        <v>7.46</v>
      </c>
    </row>
    <row r="336" spans="1:2">
      <c r="A336" s="2" t="s">
        <v>321</v>
      </c>
      <c r="B336">
        <v>6.34</v>
      </c>
    </row>
    <row r="337" spans="1:2">
      <c r="A337" s="2" t="s">
        <v>1202</v>
      </c>
      <c r="B337">
        <v>5.84</v>
      </c>
    </row>
    <row r="338" spans="1:2">
      <c r="A338" s="2" t="s">
        <v>377</v>
      </c>
      <c r="B338">
        <v>6.59</v>
      </c>
    </row>
    <row r="339" spans="1:2">
      <c r="A339" s="2" t="s">
        <v>54</v>
      </c>
      <c r="B339">
        <v>6.4849999999999994</v>
      </c>
    </row>
    <row r="340" spans="1:2">
      <c r="A340" s="2" t="s">
        <v>1066</v>
      </c>
      <c r="B340">
        <v>7.26</v>
      </c>
    </row>
    <row r="341" spans="1:2">
      <c r="A341" s="2" t="s">
        <v>263</v>
      </c>
      <c r="B341">
        <v>8.06</v>
      </c>
    </row>
    <row r="342" spans="1:2">
      <c r="A342" s="2" t="s">
        <v>625</v>
      </c>
      <c r="B342">
        <v>7.14</v>
      </c>
    </row>
    <row r="343" spans="1:2">
      <c r="A343" s="2" t="s">
        <v>911</v>
      </c>
      <c r="B343">
        <v>7.12</v>
      </c>
    </row>
    <row r="344" spans="1:2">
      <c r="A344" s="2" t="s">
        <v>674</v>
      </c>
      <c r="B344">
        <v>6.33</v>
      </c>
    </row>
    <row r="345" spans="1:2">
      <c r="A345" s="2" t="s">
        <v>905</v>
      </c>
      <c r="B345">
        <v>7.84</v>
      </c>
    </row>
    <row r="346" spans="1:2">
      <c r="A346" s="2" t="s">
        <v>1072</v>
      </c>
      <c r="B346">
        <v>8.02</v>
      </c>
    </row>
    <row r="347" spans="1:2">
      <c r="A347" s="2" t="s">
        <v>109</v>
      </c>
      <c r="B347">
        <v>6.27</v>
      </c>
    </row>
    <row r="348" spans="1:2">
      <c r="A348" s="2" t="s">
        <v>680</v>
      </c>
      <c r="B348">
        <v>6.61</v>
      </c>
    </row>
    <row r="349" spans="1:2">
      <c r="A349" s="2" t="s">
        <v>528</v>
      </c>
      <c r="B349">
        <v>6.9733333333333336</v>
      </c>
    </row>
    <row r="350" spans="1:2">
      <c r="A350" s="2" t="s">
        <v>391</v>
      </c>
      <c r="B350">
        <v>6.69</v>
      </c>
    </row>
    <row r="351" spans="1:2">
      <c r="A351" s="2" t="s">
        <v>69</v>
      </c>
      <c r="B351">
        <v>7.62</v>
      </c>
    </row>
    <row r="352" spans="1:2">
      <c r="A352" s="2" t="s">
        <v>960</v>
      </c>
      <c r="B352">
        <v>7.53</v>
      </c>
    </row>
    <row r="353" spans="1:2">
      <c r="A353" s="2" t="s">
        <v>645</v>
      </c>
      <c r="B353">
        <v>7.27</v>
      </c>
    </row>
    <row r="354" spans="1:2">
      <c r="A354" s="2" t="s">
        <v>77</v>
      </c>
      <c r="B354">
        <v>6.06</v>
      </c>
    </row>
    <row r="355" spans="1:2">
      <c r="A355" s="2" t="s">
        <v>437</v>
      </c>
      <c r="B355">
        <v>7.25</v>
      </c>
    </row>
    <row r="356" spans="1:2">
      <c r="A356" s="2" t="s">
        <v>91</v>
      </c>
      <c r="B356">
        <v>6.58</v>
      </c>
    </row>
    <row r="357" spans="1:2">
      <c r="A357" s="2" t="s">
        <v>649</v>
      </c>
      <c r="B357">
        <v>7.25</v>
      </c>
    </row>
    <row r="358" spans="1:2">
      <c r="A358" s="2" t="s">
        <v>785</v>
      </c>
      <c r="B358">
        <v>6.08</v>
      </c>
    </row>
    <row r="359" spans="1:2">
      <c r="A359" s="2" t="s">
        <v>866</v>
      </c>
      <c r="B359">
        <v>6.81</v>
      </c>
    </row>
    <row r="360" spans="1:2">
      <c r="A360" s="2" t="s">
        <v>1169</v>
      </c>
      <c r="B360">
        <v>6.11</v>
      </c>
    </row>
    <row r="361" spans="1:2">
      <c r="A361" s="2" t="s">
        <v>795</v>
      </c>
      <c r="B361">
        <v>5.8733333333333322</v>
      </c>
    </row>
    <row r="362" spans="1:2">
      <c r="A362" s="2" t="s">
        <v>764</v>
      </c>
      <c r="B362">
        <v>6.27</v>
      </c>
    </row>
    <row r="363" spans="1:2">
      <c r="A363" s="2" t="s">
        <v>1179</v>
      </c>
      <c r="B363">
        <v>5.7</v>
      </c>
    </row>
    <row r="364" spans="1:2">
      <c r="A364" s="2" t="s">
        <v>126</v>
      </c>
      <c r="B364">
        <v>4.67</v>
      </c>
    </row>
    <row r="365" spans="1:2">
      <c r="A365" s="2" t="s">
        <v>431</v>
      </c>
      <c r="B365">
        <v>8.02</v>
      </c>
    </row>
    <row r="366" spans="1:2">
      <c r="A366" s="2" t="s">
        <v>1162</v>
      </c>
      <c r="B366">
        <v>7.21</v>
      </c>
    </row>
    <row r="367" spans="1:2">
      <c r="A367" s="2" t="s">
        <v>690</v>
      </c>
      <c r="B367">
        <v>6.35</v>
      </c>
    </row>
    <row r="368" spans="1:2">
      <c r="A368" s="2" t="s">
        <v>535</v>
      </c>
      <c r="B368">
        <v>5.67</v>
      </c>
    </row>
    <row r="369" spans="1:2">
      <c r="A369" s="2" t="s">
        <v>324</v>
      </c>
      <c r="B369">
        <v>7.14</v>
      </c>
    </row>
    <row r="370" spans="1:2">
      <c r="A370" s="2" t="s">
        <v>252</v>
      </c>
      <c r="B370">
        <v>6.5</v>
      </c>
    </row>
    <row r="371" spans="1:2">
      <c r="A371" s="2" t="s">
        <v>508</v>
      </c>
      <c r="B371">
        <v>5.81</v>
      </c>
    </row>
    <row r="372" spans="1:2">
      <c r="A372" s="2" t="s">
        <v>860</v>
      </c>
      <c r="B372">
        <v>7.36</v>
      </c>
    </row>
    <row r="373" spans="1:2">
      <c r="A373" s="2" t="s">
        <v>1272</v>
      </c>
      <c r="B373">
        <v>6.53</v>
      </c>
    </row>
    <row r="374" spans="1:2">
      <c r="A374" s="2" t="s">
        <v>399</v>
      </c>
      <c r="B374">
        <v>5.81</v>
      </c>
    </row>
    <row r="375" spans="1:2">
      <c r="A375" s="2" t="s">
        <v>66</v>
      </c>
      <c r="B375">
        <v>7.1</v>
      </c>
    </row>
    <row r="376" spans="1:2">
      <c r="A376" s="2" t="s">
        <v>1138</v>
      </c>
      <c r="B376">
        <v>5.24</v>
      </c>
    </row>
    <row r="377" spans="1:2">
      <c r="A377" s="2" t="s">
        <v>670</v>
      </c>
      <c r="B377">
        <v>6.56</v>
      </c>
    </row>
    <row r="378" spans="1:2">
      <c r="A378" s="2" t="s">
        <v>1220</v>
      </c>
      <c r="B378">
        <v>7.38</v>
      </c>
    </row>
    <row r="379" spans="1:2">
      <c r="A379" s="2" t="s">
        <v>45</v>
      </c>
      <c r="B379">
        <v>7.51</v>
      </c>
    </row>
    <row r="380" spans="1:2">
      <c r="A380" s="2" t="s">
        <v>668</v>
      </c>
      <c r="B380">
        <v>7.97</v>
      </c>
    </row>
    <row r="381" spans="1:2">
      <c r="A381" s="2" t="s">
        <v>610</v>
      </c>
      <c r="B381">
        <v>8.1999999999999993</v>
      </c>
    </row>
    <row r="382" spans="1:2">
      <c r="A382" s="2" t="s">
        <v>815</v>
      </c>
      <c r="B382">
        <v>7.12</v>
      </c>
    </row>
    <row r="383" spans="1:2">
      <c r="A383" s="2" t="s">
        <v>97</v>
      </c>
      <c r="B383">
        <v>6.96</v>
      </c>
    </row>
    <row r="384" spans="1:2">
      <c r="A384" s="2" t="s">
        <v>812</v>
      </c>
      <c r="B384">
        <v>7.18</v>
      </c>
    </row>
    <row r="385" spans="1:2">
      <c r="A385" s="2" t="s">
        <v>424</v>
      </c>
      <c r="B385">
        <v>8.1550000000000011</v>
      </c>
    </row>
    <row r="386" spans="1:2">
      <c r="A386" s="2" t="s">
        <v>259</v>
      </c>
      <c r="B386">
        <v>7.61</v>
      </c>
    </row>
    <row r="387" spans="1:2">
      <c r="A387" s="2" t="s">
        <v>306</v>
      </c>
      <c r="B387">
        <v>7.81</v>
      </c>
    </row>
    <row r="388" spans="1:2">
      <c r="A388" s="2" t="s">
        <v>579</v>
      </c>
      <c r="B388">
        <v>6.56</v>
      </c>
    </row>
    <row r="389" spans="1:2">
      <c r="A389" s="2" t="s">
        <v>348</v>
      </c>
      <c r="B389">
        <v>8.16</v>
      </c>
    </row>
    <row r="390" spans="1:2">
      <c r="A390" s="2" t="s">
        <v>214</v>
      </c>
      <c r="B390">
        <v>6.9</v>
      </c>
    </row>
    <row r="391" spans="1:2">
      <c r="A391" s="2" t="s">
        <v>435</v>
      </c>
      <c r="B391">
        <v>8.14</v>
      </c>
    </row>
    <row r="392" spans="1:2">
      <c r="A392" s="2" t="s">
        <v>949</v>
      </c>
      <c r="B392">
        <v>7.75</v>
      </c>
    </row>
    <row r="393" spans="1:2">
      <c r="A393" s="2" t="s">
        <v>485</v>
      </c>
      <c r="B393">
        <v>5.8149999999999995</v>
      </c>
    </row>
    <row r="394" spans="1:2">
      <c r="A394" s="2" t="s">
        <v>343</v>
      </c>
      <c r="B394">
        <v>5.7249999999999996</v>
      </c>
    </row>
    <row r="395" spans="1:2">
      <c r="A395" s="2" t="s">
        <v>410</v>
      </c>
      <c r="B395">
        <v>7.04</v>
      </c>
    </row>
    <row r="396" spans="1:2">
      <c r="A396" s="2" t="s">
        <v>79</v>
      </c>
      <c r="B396">
        <v>7.03</v>
      </c>
    </row>
    <row r="397" spans="1:2">
      <c r="A397" s="2" t="s">
        <v>370</v>
      </c>
      <c r="B397">
        <v>6.06</v>
      </c>
    </row>
    <row r="398" spans="1:2">
      <c r="A398" s="2" t="s">
        <v>246</v>
      </c>
      <c r="B398">
        <v>7.75</v>
      </c>
    </row>
    <row r="399" spans="1:2">
      <c r="A399" s="2" t="s">
        <v>161</v>
      </c>
      <c r="B399">
        <v>7.87</v>
      </c>
    </row>
    <row r="400" spans="1:2">
      <c r="A400" s="2" t="s">
        <v>891</v>
      </c>
      <c r="B400">
        <v>5.6</v>
      </c>
    </row>
    <row r="401" spans="1:2">
      <c r="A401" s="2" t="s">
        <v>231</v>
      </c>
      <c r="B401">
        <v>5.9730000000000008</v>
      </c>
    </row>
    <row r="402" spans="1:2">
      <c r="A402" s="2" t="s">
        <v>880</v>
      </c>
      <c r="B402">
        <v>7.85</v>
      </c>
    </row>
    <row r="403" spans="1:2">
      <c r="A403" s="2" t="s">
        <v>665</v>
      </c>
      <c r="B403">
        <v>7.1</v>
      </c>
    </row>
    <row r="404" spans="1:2">
      <c r="A404" s="2" t="s">
        <v>595</v>
      </c>
      <c r="B404">
        <v>6.36</v>
      </c>
    </row>
    <row r="405" spans="1:2">
      <c r="A405" s="2" t="s">
        <v>180</v>
      </c>
      <c r="B405">
        <v>7.52</v>
      </c>
    </row>
    <row r="406" spans="1:2">
      <c r="A406" s="2" t="s">
        <v>1157</v>
      </c>
      <c r="B406">
        <v>8.5</v>
      </c>
    </row>
    <row r="407" spans="1:2">
      <c r="A407" s="2" t="s">
        <v>1028</v>
      </c>
      <c r="B407">
        <v>7.65</v>
      </c>
    </row>
    <row r="408" spans="1:2">
      <c r="A408" s="2" t="s">
        <v>1039</v>
      </c>
      <c r="B408">
        <v>7.9450000000000003</v>
      </c>
    </row>
    <row r="409" spans="1:2">
      <c r="A409" s="2" t="s">
        <v>491</v>
      </c>
      <c r="B409">
        <v>6.35</v>
      </c>
    </row>
    <row r="410" spans="1:2">
      <c r="A410" s="2" t="s">
        <v>715</v>
      </c>
      <c r="B410">
        <v>6.56</v>
      </c>
    </row>
    <row r="411" spans="1:2">
      <c r="A411" s="2" t="s">
        <v>85</v>
      </c>
      <c r="B411">
        <v>6.92</v>
      </c>
    </row>
    <row r="412" spans="1:2">
      <c r="A412" s="2" t="s">
        <v>1184</v>
      </c>
      <c r="B412">
        <v>8.1999999999999993</v>
      </c>
    </row>
    <row r="413" spans="1:2">
      <c r="A413" s="2" t="s">
        <v>1043</v>
      </c>
      <c r="B413">
        <v>5.44</v>
      </c>
    </row>
    <row r="414" spans="1:2">
      <c r="A414" s="2" t="s">
        <v>1239</v>
      </c>
      <c r="B414">
        <v>7.48</v>
      </c>
    </row>
    <row r="415" spans="1:2">
      <c r="A415" s="2" t="s">
        <v>1143</v>
      </c>
      <c r="B415">
        <v>8</v>
      </c>
    </row>
    <row r="416" spans="1:2">
      <c r="A416" s="2" t="s">
        <v>776</v>
      </c>
      <c r="B416">
        <v>6.42</v>
      </c>
    </row>
    <row r="417" spans="1:2">
      <c r="A417" s="2" t="s">
        <v>871</v>
      </c>
      <c r="B417">
        <v>8.1199999999999992</v>
      </c>
    </row>
    <row r="418" spans="1:2">
      <c r="A418" s="2" t="s">
        <v>1175</v>
      </c>
      <c r="B418">
        <v>6.06</v>
      </c>
    </row>
    <row r="419" spans="1:2">
      <c r="A419" s="2" t="s">
        <v>1099</v>
      </c>
      <c r="B419">
        <v>7.7</v>
      </c>
    </row>
    <row r="420" spans="1:2">
      <c r="A420" s="2" t="s">
        <v>1298</v>
      </c>
      <c r="B420">
        <v>5.97</v>
      </c>
    </row>
    <row r="421" spans="1:2">
      <c r="A421" s="2" t="s">
        <v>1278</v>
      </c>
      <c r="B421">
        <v>7.1296308186195771</v>
      </c>
    </row>
  </sheetData>
  <pageMargins left="0.7" right="0.7" top="0.75" bottom="0.75" header="0.3" footer="0.3"/>
  <pageSetup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0BAFD-300D-4B2D-8A83-C6373EFA2441}">
  <dimension ref="A3:E107"/>
  <sheetViews>
    <sheetView topLeftCell="A13" zoomScale="90" zoomScaleNormal="90" workbookViewId="0">
      <selection activeCell="A20" sqref="A20:C25"/>
    </sheetView>
  </sheetViews>
  <sheetFormatPr defaultRowHeight="14.4"/>
  <cols>
    <col min="1" max="1" width="13.5546875" bestFit="1" customWidth="1"/>
    <col min="2" max="2" width="14.33203125" bestFit="1" customWidth="1"/>
    <col min="3" max="3" width="31.33203125" bestFit="1" customWidth="1"/>
    <col min="4" max="4" width="21.33203125" bestFit="1" customWidth="1"/>
    <col min="5" max="5" width="27.6640625" bestFit="1" customWidth="1"/>
  </cols>
  <sheetData>
    <row r="3" spans="1:2">
      <c r="A3" s="1" t="s">
        <v>1277</v>
      </c>
      <c r="B3" t="s">
        <v>1452</v>
      </c>
    </row>
    <row r="4" spans="1:2">
      <c r="A4" s="2">
        <v>2021</v>
      </c>
      <c r="B4">
        <v>93</v>
      </c>
    </row>
    <row r="5" spans="1:2">
      <c r="A5" s="2">
        <v>2022</v>
      </c>
      <c r="B5">
        <v>86</v>
      </c>
    </row>
    <row r="6" spans="1:2">
      <c r="A6" s="2">
        <v>2023</v>
      </c>
      <c r="B6">
        <v>79</v>
      </c>
    </row>
    <row r="7" spans="1:2">
      <c r="A7" s="2">
        <v>2024</v>
      </c>
      <c r="B7">
        <v>80</v>
      </c>
    </row>
    <row r="8" spans="1:2">
      <c r="A8" s="2">
        <v>2025</v>
      </c>
      <c r="B8">
        <v>64</v>
      </c>
    </row>
    <row r="9" spans="1:2">
      <c r="A9" s="2">
        <v>2026</v>
      </c>
      <c r="B9">
        <v>39</v>
      </c>
    </row>
    <row r="10" spans="1:2">
      <c r="A10" s="2" t="s">
        <v>1278</v>
      </c>
      <c r="B10">
        <v>441</v>
      </c>
    </row>
    <row r="17" spans="1:3">
      <c r="A17" t="s">
        <v>1451</v>
      </c>
    </row>
    <row r="20" spans="1:3">
      <c r="A20" s="1" t="s">
        <v>1277</v>
      </c>
      <c r="B20" t="s">
        <v>1441</v>
      </c>
      <c r="C20" t="s">
        <v>1449</v>
      </c>
    </row>
    <row r="21" spans="1:3">
      <c r="A21" s="2" t="s">
        <v>1310</v>
      </c>
      <c r="B21" s="3">
        <v>8.0146666666666651</v>
      </c>
      <c r="C21" s="3">
        <v>7.6653333333333311</v>
      </c>
    </row>
    <row r="22" spans="1:3">
      <c r="A22" s="2" t="s">
        <v>1300</v>
      </c>
      <c r="B22" s="3">
        <v>8.4571428571428537</v>
      </c>
      <c r="C22" s="3">
        <v>13.240993788819877</v>
      </c>
    </row>
    <row r="23" spans="1:3">
      <c r="A23" s="2" t="s">
        <v>1321</v>
      </c>
      <c r="B23" s="3">
        <v>8.1612244897959236</v>
      </c>
      <c r="C23" s="3">
        <v>12.313265306122444</v>
      </c>
    </row>
    <row r="24" spans="1:3">
      <c r="A24" s="2" t="s">
        <v>1305</v>
      </c>
      <c r="B24" s="3">
        <v>7.871962616822433</v>
      </c>
      <c r="C24" s="3">
        <v>9.4495327102803746</v>
      </c>
    </row>
    <row r="25" spans="1:3">
      <c r="A25" s="2" t="s">
        <v>1278</v>
      </c>
      <c r="B25" s="3">
        <v>8.1741496598639412</v>
      </c>
      <c r="C25" s="3">
        <v>11.166666666666666</v>
      </c>
    </row>
    <row r="33" spans="1:2">
      <c r="A33" t="s">
        <v>1450</v>
      </c>
    </row>
    <row r="35" spans="1:2">
      <c r="A35" s="1" t="s">
        <v>1277</v>
      </c>
      <c r="B35" t="s">
        <v>1449</v>
      </c>
    </row>
    <row r="36" spans="1:2">
      <c r="A36" s="2" t="s">
        <v>1304</v>
      </c>
      <c r="B36" s="3">
        <v>13.752447552447551</v>
      </c>
    </row>
    <row r="37" spans="1:2">
      <c r="A37" s="2" t="s">
        <v>1299</v>
      </c>
      <c r="B37" s="3">
        <v>9.0246753246753251</v>
      </c>
    </row>
    <row r="38" spans="1:2">
      <c r="A38" s="2" t="s">
        <v>1315</v>
      </c>
      <c r="B38" s="3">
        <v>9.0547619047619037</v>
      </c>
    </row>
    <row r="39" spans="1:2">
      <c r="A39" s="2" t="s">
        <v>1303</v>
      </c>
      <c r="B39" s="3">
        <v>10.966423357664235</v>
      </c>
    </row>
    <row r="40" spans="1:2">
      <c r="A40" s="2" t="s">
        <v>1278</v>
      </c>
      <c r="B40" s="3">
        <v>11.166666666666663</v>
      </c>
    </row>
    <row r="49" spans="1:2">
      <c r="B49" t="s">
        <v>1448</v>
      </c>
    </row>
    <row r="51" spans="1:2">
      <c r="A51" s="1" t="s">
        <v>1277</v>
      </c>
      <c r="B51" t="s">
        <v>1441</v>
      </c>
    </row>
    <row r="52" spans="1:2">
      <c r="A52" s="2">
        <v>2021</v>
      </c>
      <c r="B52" s="3">
        <v>7.7677419354838735</v>
      </c>
    </row>
    <row r="53" spans="1:2">
      <c r="A53" s="2">
        <v>2022</v>
      </c>
      <c r="B53" s="3">
        <v>7.9686046511627957</v>
      </c>
    </row>
    <row r="54" spans="1:2">
      <c r="A54" s="2">
        <v>2023</v>
      </c>
      <c r="B54" s="3">
        <v>8.2784810126582258</v>
      </c>
    </row>
    <row r="55" spans="1:2">
      <c r="A55" s="2">
        <v>2024</v>
      </c>
      <c r="B55" s="3">
        <v>8.2025000000000023</v>
      </c>
    </row>
    <row r="56" spans="1:2">
      <c r="A56" s="2">
        <v>2025</v>
      </c>
      <c r="B56" s="3">
        <v>8.4937500000000039</v>
      </c>
    </row>
    <row r="57" spans="1:2">
      <c r="A57" s="2">
        <v>2026</v>
      </c>
      <c r="B57" s="3">
        <v>8.8025641025641033</v>
      </c>
    </row>
    <row r="58" spans="1:2">
      <c r="A58" s="2" t="s">
        <v>1278</v>
      </c>
      <c r="B58" s="3">
        <v>8.1741496598639412</v>
      </c>
    </row>
    <row r="68" spans="1:5">
      <c r="D68" t="s">
        <v>1447</v>
      </c>
    </row>
    <row r="69" spans="1:5">
      <c r="A69" t="s">
        <v>1446</v>
      </c>
    </row>
    <row r="70" spans="1:5">
      <c r="D70" s="1" t="s">
        <v>1277</v>
      </c>
      <c r="E70" t="s">
        <v>1441</v>
      </c>
    </row>
    <row r="71" spans="1:5">
      <c r="A71" s="1" t="s">
        <v>1277</v>
      </c>
      <c r="B71" t="s">
        <v>1441</v>
      </c>
      <c r="D71" s="2" t="s">
        <v>1425</v>
      </c>
      <c r="E71" s="3">
        <v>9.0333333333333332</v>
      </c>
    </row>
    <row r="72" spans="1:5">
      <c r="A72" s="2" t="s">
        <v>1300</v>
      </c>
      <c r="B72" s="3">
        <v>8.4571428571428537</v>
      </c>
      <c r="D72" s="2" t="s">
        <v>1432</v>
      </c>
      <c r="E72" s="3">
        <v>9.35</v>
      </c>
    </row>
    <row r="73" spans="1:5">
      <c r="A73" s="2" t="s">
        <v>1278</v>
      </c>
      <c r="B73" s="3">
        <v>8.4571428571428537</v>
      </c>
      <c r="D73" s="2" t="s">
        <v>1422</v>
      </c>
      <c r="E73" s="3">
        <v>9.0749999999999993</v>
      </c>
    </row>
    <row r="74" spans="1:5">
      <c r="A74" t="str">
        <f>A72</f>
        <v>Crunchyroll</v>
      </c>
      <c r="D74" s="2" t="s">
        <v>1427</v>
      </c>
      <c r="E74" s="3">
        <v>9.0749999999999993</v>
      </c>
    </row>
    <row r="75" spans="1:5">
      <c r="D75" s="2" t="s">
        <v>1433</v>
      </c>
      <c r="E75" s="3">
        <v>9.2750000000000004</v>
      </c>
    </row>
    <row r="76" spans="1:5">
      <c r="D76" s="2" t="s">
        <v>1428</v>
      </c>
      <c r="E76" s="3">
        <v>9.0749999999999993</v>
      </c>
    </row>
    <row r="77" spans="1:5">
      <c r="D77" s="2" t="s">
        <v>1430</v>
      </c>
      <c r="E77" s="3">
        <v>9.35</v>
      </c>
    </row>
    <row r="78" spans="1:5">
      <c r="D78" s="2" t="s">
        <v>1426</v>
      </c>
      <c r="E78" s="3">
        <v>9.0500000000000007</v>
      </c>
    </row>
    <row r="79" spans="1:5">
      <c r="D79" s="2" t="s">
        <v>1431</v>
      </c>
      <c r="E79" s="3">
        <v>9.1</v>
      </c>
    </row>
    <row r="80" spans="1:5">
      <c r="D80" s="2" t="s">
        <v>1423</v>
      </c>
      <c r="E80" s="3">
        <v>9.0333333333333332</v>
      </c>
    </row>
    <row r="81" spans="1:5">
      <c r="D81" s="2" t="s">
        <v>1429</v>
      </c>
      <c r="E81" s="3">
        <v>9.2333333333333343</v>
      </c>
    </row>
    <row r="82" spans="1:5">
      <c r="D82" s="2" t="s">
        <v>1278</v>
      </c>
      <c r="E82" s="3">
        <v>9.1550000000000011</v>
      </c>
    </row>
    <row r="89" spans="1:5">
      <c r="A89" t="s">
        <v>1445</v>
      </c>
      <c r="C89" t="s">
        <v>1444</v>
      </c>
    </row>
    <row r="91" spans="1:5">
      <c r="A91" t="s">
        <v>1295</v>
      </c>
      <c r="C91" t="s">
        <v>1441</v>
      </c>
    </row>
    <row r="92" spans="1:5">
      <c r="A92">
        <v>441</v>
      </c>
      <c r="B92">
        <f>GETPIVOTDATA("Anime Title",$A$91)</f>
        <v>441</v>
      </c>
      <c r="C92" s="3">
        <v>8.1741496598639394</v>
      </c>
      <c r="D92" s="3">
        <f>GETPIVOTDATA("Viewer Rating (/ 10)",$C$91)</f>
        <v>8.1741496598639394</v>
      </c>
    </row>
    <row r="97" spans="1:2">
      <c r="A97" t="s">
        <v>1443</v>
      </c>
    </row>
    <row r="98" spans="1:2">
      <c r="A98">
        <v>4924.5000000000036</v>
      </c>
      <c r="B98">
        <f>GETPIVOTDATA("Monthly Viewership (M)",$A$97)</f>
        <v>4924.5000000000036</v>
      </c>
    </row>
    <row r="101" spans="1:2">
      <c r="A101" t="s">
        <v>1442</v>
      </c>
    </row>
    <row r="102" spans="1:2">
      <c r="A102" s="1" t="s">
        <v>1277</v>
      </c>
      <c r="B102" t="s">
        <v>1441</v>
      </c>
    </row>
    <row r="103" spans="1:2">
      <c r="A103" s="2" t="s">
        <v>1432</v>
      </c>
      <c r="B103" s="3">
        <v>9.35</v>
      </c>
    </row>
    <row r="104" spans="1:2">
      <c r="A104" s="2" t="s">
        <v>1430</v>
      </c>
      <c r="B104" s="3">
        <v>9.35</v>
      </c>
    </row>
    <row r="105" spans="1:2">
      <c r="A105" s="2" t="s">
        <v>1278</v>
      </c>
      <c r="B105" s="3">
        <v>9.35</v>
      </c>
    </row>
    <row r="107" spans="1:2">
      <c r="A107" t="str">
        <f>A103</f>
        <v>Attack on Titan Final</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D6AD5-908C-45A5-8CB0-B1759DB05440}">
  <dimension ref="A1:M65"/>
  <sheetViews>
    <sheetView topLeftCell="K1" zoomScale="70" zoomScaleNormal="70" workbookViewId="0">
      <selection activeCell="V29" sqref="V29"/>
    </sheetView>
  </sheetViews>
  <sheetFormatPr defaultRowHeight="14.4"/>
  <cols>
    <col min="1" max="1" width="24.5546875" bestFit="1" customWidth="1"/>
    <col min="2" max="2" width="37.33203125" bestFit="1" customWidth="1"/>
    <col min="3" max="3" width="41.44140625" bestFit="1" customWidth="1"/>
    <col min="12" max="13" width="28.6640625" bestFit="1" customWidth="1"/>
    <col min="14" max="14" width="26.6640625" bestFit="1" customWidth="1"/>
  </cols>
  <sheetData>
    <row r="1" spans="1:3">
      <c r="A1" s="1" t="s">
        <v>1277</v>
      </c>
      <c r="B1" t="s">
        <v>1441</v>
      </c>
      <c r="C1" t="s">
        <v>1449</v>
      </c>
    </row>
    <row r="2" spans="1:3">
      <c r="A2" s="2" t="s">
        <v>1310</v>
      </c>
      <c r="B2" s="3">
        <v>8.0146666666666651</v>
      </c>
      <c r="C2" s="3">
        <v>7.6653333333333311</v>
      </c>
    </row>
    <row r="3" spans="1:3">
      <c r="A3" s="2" t="s">
        <v>1300</v>
      </c>
      <c r="B3" s="3">
        <v>8.4571428571428537</v>
      </c>
      <c r="C3" s="3">
        <v>13.240993788819877</v>
      </c>
    </row>
    <row r="4" spans="1:3">
      <c r="A4" s="2" t="s">
        <v>1321</v>
      </c>
      <c r="B4" s="3">
        <v>8.1612244897959236</v>
      </c>
      <c r="C4" s="3">
        <v>12.313265306122444</v>
      </c>
    </row>
    <row r="5" spans="1:3">
      <c r="A5" s="2" t="s">
        <v>1305</v>
      </c>
      <c r="B5" s="3">
        <v>7.871962616822433</v>
      </c>
      <c r="C5" s="3">
        <v>9.4495327102803746</v>
      </c>
    </row>
    <row r="6" spans="1:3">
      <c r="A6" s="2" t="s">
        <v>1278</v>
      </c>
      <c r="B6" s="3">
        <v>8.1741496598639412</v>
      </c>
      <c r="C6" s="3">
        <v>11.166666666666666</v>
      </c>
    </row>
    <row r="20" spans="1:13">
      <c r="A20" s="1" t="s">
        <v>1277</v>
      </c>
      <c r="B20" t="s">
        <v>1449</v>
      </c>
    </row>
    <row r="21" spans="1:13">
      <c r="A21" s="2" t="s">
        <v>1304</v>
      </c>
      <c r="B21" s="3">
        <v>13.752447552447551</v>
      </c>
      <c r="L21" t="s">
        <v>1441</v>
      </c>
    </row>
    <row r="22" spans="1:13">
      <c r="A22" s="2" t="s">
        <v>1299</v>
      </c>
      <c r="B22" s="3">
        <v>9.0246753246753251</v>
      </c>
      <c r="L22" s="3">
        <v>8.1741496598639394</v>
      </c>
    </row>
    <row r="23" spans="1:13">
      <c r="A23" s="2" t="s">
        <v>1315</v>
      </c>
      <c r="B23" s="3">
        <v>9.0547619047619037</v>
      </c>
      <c r="K23" s="8"/>
    </row>
    <row r="24" spans="1:13">
      <c r="A24" s="2" t="s">
        <v>1303</v>
      </c>
      <c r="B24" s="3">
        <v>10.966423357664235</v>
      </c>
    </row>
    <row r="25" spans="1:13">
      <c r="A25" s="2" t="s">
        <v>1278</v>
      </c>
      <c r="B25" s="3">
        <v>11.166666666666663</v>
      </c>
    </row>
    <row r="31" spans="1:13">
      <c r="L31" t="s">
        <v>1441</v>
      </c>
    </row>
    <row r="32" spans="1:13">
      <c r="L32" s="3">
        <v>8.1741496598639394</v>
      </c>
      <c r="M32" s="3">
        <f>GETPIVOTDATA("Viewer Rating (/ 10)",$L$31)</f>
        <v>8.1741496598639394</v>
      </c>
    </row>
    <row r="36" spans="1:13">
      <c r="A36" s="1" t="s">
        <v>1277</v>
      </c>
      <c r="B36" t="s">
        <v>1441</v>
      </c>
    </row>
    <row r="37" spans="1:13">
      <c r="A37" s="2">
        <v>2021</v>
      </c>
      <c r="B37" s="3">
        <v>7.7677419354838735</v>
      </c>
    </row>
    <row r="38" spans="1:13">
      <c r="A38" s="2">
        <v>2022</v>
      </c>
      <c r="B38" s="3">
        <v>7.9686046511627957</v>
      </c>
      <c r="L38" t="s">
        <v>1295</v>
      </c>
    </row>
    <row r="39" spans="1:13">
      <c r="A39" s="2">
        <v>2023</v>
      </c>
      <c r="B39" s="3">
        <v>8.2784810126582258</v>
      </c>
      <c r="L39">
        <v>441</v>
      </c>
      <c r="M39">
        <f>GETPIVOTDATA("Anime Title",$L$38)</f>
        <v>441</v>
      </c>
    </row>
    <row r="40" spans="1:13">
      <c r="A40" s="2">
        <v>2024</v>
      </c>
      <c r="B40" s="3">
        <v>8.2025000000000023</v>
      </c>
    </row>
    <row r="41" spans="1:13">
      <c r="A41" s="2">
        <v>2025</v>
      </c>
      <c r="B41" s="3">
        <v>8.4937500000000039</v>
      </c>
    </row>
    <row r="42" spans="1:13">
      <c r="A42" s="2">
        <v>2026</v>
      </c>
      <c r="B42" s="3">
        <v>8.8025641025641033</v>
      </c>
    </row>
    <row r="43" spans="1:13">
      <c r="A43" s="2" t="s">
        <v>1278</v>
      </c>
      <c r="B43" s="3">
        <v>8.1741496598639412</v>
      </c>
      <c r="L43" t="s">
        <v>1443</v>
      </c>
    </row>
    <row r="44" spans="1:13">
      <c r="L44">
        <v>4924.5000000000036</v>
      </c>
      <c r="M44">
        <f>GETPIVOTDATA("Monthly Viewership (M)",$L$43)</f>
        <v>4924.5000000000036</v>
      </c>
    </row>
    <row r="49" spans="1:13">
      <c r="L49" s="1" t="s">
        <v>1277</v>
      </c>
      <c r="M49" t="s">
        <v>1441</v>
      </c>
    </row>
    <row r="50" spans="1:13">
      <c r="L50" s="2" t="s">
        <v>1300</v>
      </c>
      <c r="M50" s="3">
        <v>8.4571428571428537</v>
      </c>
    </row>
    <row r="51" spans="1:13">
      <c r="L51" s="2" t="s">
        <v>1278</v>
      </c>
      <c r="M51" s="3">
        <v>8.4571428571428537</v>
      </c>
    </row>
    <row r="52" spans="1:13">
      <c r="L52" t="str">
        <f>L50</f>
        <v>Crunchyroll</v>
      </c>
    </row>
    <row r="53" spans="1:13">
      <c r="A53" s="1" t="s">
        <v>1277</v>
      </c>
      <c r="B53" t="s">
        <v>1441</v>
      </c>
    </row>
    <row r="54" spans="1:13">
      <c r="A54" s="2" t="s">
        <v>1425</v>
      </c>
      <c r="B54" s="3">
        <v>9.0333333333333332</v>
      </c>
    </row>
    <row r="55" spans="1:13">
      <c r="A55" s="2" t="s">
        <v>1423</v>
      </c>
      <c r="B55" s="3">
        <v>9.0333333333333332</v>
      </c>
    </row>
    <row r="56" spans="1:13">
      <c r="A56" s="2" t="s">
        <v>1426</v>
      </c>
      <c r="B56" s="3">
        <v>9.0500000000000007</v>
      </c>
    </row>
    <row r="57" spans="1:13">
      <c r="A57" s="2" t="s">
        <v>1428</v>
      </c>
      <c r="B57" s="3">
        <v>9.0749999999999993</v>
      </c>
    </row>
    <row r="58" spans="1:13">
      <c r="A58" s="2" t="s">
        <v>1422</v>
      </c>
      <c r="B58" s="3">
        <v>9.0749999999999993</v>
      </c>
      <c r="L58" s="1" t="s">
        <v>1277</v>
      </c>
      <c r="M58" t="s">
        <v>1441</v>
      </c>
    </row>
    <row r="59" spans="1:13">
      <c r="A59" s="2" t="s">
        <v>1427</v>
      </c>
      <c r="B59" s="3">
        <v>9.0749999999999993</v>
      </c>
      <c r="L59" s="2" t="s">
        <v>1432</v>
      </c>
      <c r="M59" s="3">
        <v>9.35</v>
      </c>
    </row>
    <row r="60" spans="1:13">
      <c r="A60" s="2" t="s">
        <v>1431</v>
      </c>
      <c r="B60" s="3">
        <v>9.1</v>
      </c>
      <c r="L60" s="2" t="s">
        <v>1430</v>
      </c>
      <c r="M60" s="3">
        <v>9.35</v>
      </c>
    </row>
    <row r="61" spans="1:13">
      <c r="A61" s="2" t="s">
        <v>1429</v>
      </c>
      <c r="B61" s="3">
        <v>9.2333333333333343</v>
      </c>
      <c r="L61" s="2" t="s">
        <v>1278</v>
      </c>
      <c r="M61" s="3">
        <v>9.35</v>
      </c>
    </row>
    <row r="62" spans="1:13">
      <c r="A62" s="2" t="s">
        <v>1433</v>
      </c>
      <c r="B62" s="3">
        <v>9.2750000000000004</v>
      </c>
      <c r="L62" t="str">
        <f>L59</f>
        <v>Attack on Titan Final</v>
      </c>
    </row>
    <row r="63" spans="1:13">
      <c r="A63" s="2" t="s">
        <v>1432</v>
      </c>
      <c r="B63" s="3">
        <v>9.35</v>
      </c>
    </row>
    <row r="64" spans="1:13">
      <c r="A64" s="2" t="s">
        <v>1430</v>
      </c>
      <c r="B64" s="3">
        <v>9.35</v>
      </c>
    </row>
    <row r="65" spans="1:2">
      <c r="A65" s="2" t="s">
        <v>1278</v>
      </c>
      <c r="B65" s="3">
        <v>9.1550000000000011</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B9567-7DD0-47AD-9AA1-2825DEF14CD1}">
  <dimension ref="A3:N391"/>
  <sheetViews>
    <sheetView topLeftCell="A67" zoomScale="90" zoomScaleNormal="90" workbookViewId="0">
      <selection activeCell="H108" sqref="H108"/>
    </sheetView>
  </sheetViews>
  <sheetFormatPr defaultRowHeight="14.4"/>
  <cols>
    <col min="1" max="1" width="17" bestFit="1" customWidth="1"/>
    <col min="2" max="3" width="22.88671875" bestFit="1" customWidth="1"/>
    <col min="4" max="4" width="26.5546875" bestFit="1" customWidth="1"/>
    <col min="5" max="566" width="26.6640625" bestFit="1" customWidth="1"/>
    <col min="567" max="567" width="31.6640625" bestFit="1" customWidth="1"/>
    <col min="568" max="568" width="26.33203125" bestFit="1" customWidth="1"/>
    <col min="569" max="569" width="34.6640625" bestFit="1" customWidth="1"/>
    <col min="570" max="570" width="29.6640625" bestFit="1" customWidth="1"/>
    <col min="571" max="571" width="12.6640625" bestFit="1" customWidth="1"/>
    <col min="572" max="572" width="23.88671875" bestFit="1" customWidth="1"/>
    <col min="573" max="573" width="22.88671875" bestFit="1" customWidth="1"/>
    <col min="574" max="574" width="12.33203125" bestFit="1" customWidth="1"/>
    <col min="575" max="575" width="10" bestFit="1" customWidth="1"/>
    <col min="576" max="576" width="17.33203125" bestFit="1" customWidth="1"/>
    <col min="577" max="577" width="32.33203125" bestFit="1" customWidth="1"/>
    <col min="578" max="578" width="28.6640625" bestFit="1" customWidth="1"/>
    <col min="579" max="579" width="28.33203125" bestFit="1" customWidth="1"/>
    <col min="580" max="580" width="16" bestFit="1" customWidth="1"/>
    <col min="581" max="581" width="29.6640625" bestFit="1" customWidth="1"/>
    <col min="582" max="582" width="32.33203125" bestFit="1" customWidth="1"/>
    <col min="583" max="583" width="21.6640625" bestFit="1" customWidth="1"/>
    <col min="584" max="584" width="23.33203125" bestFit="1" customWidth="1"/>
    <col min="585" max="585" width="15.109375" bestFit="1" customWidth="1"/>
    <col min="586" max="586" width="31.6640625" bestFit="1" customWidth="1"/>
    <col min="587" max="587" width="32.33203125" bestFit="1" customWidth="1"/>
    <col min="588" max="589" width="13.33203125" bestFit="1" customWidth="1"/>
    <col min="590" max="590" width="28.6640625" bestFit="1" customWidth="1"/>
    <col min="591" max="591" width="26.6640625" bestFit="1" customWidth="1"/>
    <col min="592" max="592" width="22" bestFit="1" customWidth="1"/>
    <col min="593" max="593" width="15.109375" bestFit="1" customWidth="1"/>
    <col min="594" max="594" width="23.33203125" bestFit="1" customWidth="1"/>
    <col min="595" max="595" width="29" bestFit="1" customWidth="1"/>
    <col min="596" max="596" width="25" bestFit="1" customWidth="1"/>
    <col min="597" max="598" width="22.6640625" bestFit="1" customWidth="1"/>
    <col min="599" max="599" width="52.88671875" bestFit="1" customWidth="1"/>
    <col min="600" max="600" width="52.33203125" bestFit="1" customWidth="1"/>
    <col min="601" max="601" width="9.33203125" bestFit="1" customWidth="1"/>
    <col min="602" max="602" width="12.33203125" bestFit="1" customWidth="1"/>
    <col min="603" max="603" width="10.109375" bestFit="1" customWidth="1"/>
    <col min="604" max="604" width="20.6640625" bestFit="1" customWidth="1"/>
    <col min="605" max="605" width="16.6640625" bestFit="1" customWidth="1"/>
    <col min="606" max="606" width="33.33203125" bestFit="1" customWidth="1"/>
    <col min="607" max="607" width="12.33203125" bestFit="1" customWidth="1"/>
    <col min="608" max="608" width="20.33203125" bestFit="1" customWidth="1"/>
    <col min="609" max="609" width="16.6640625" bestFit="1" customWidth="1"/>
    <col min="610" max="610" width="14.33203125" bestFit="1" customWidth="1"/>
    <col min="611" max="611" width="51.33203125" bestFit="1" customWidth="1"/>
    <col min="612" max="612" width="36.109375" bestFit="1" customWidth="1"/>
    <col min="613" max="613" width="106.88671875" bestFit="1" customWidth="1"/>
    <col min="614" max="614" width="17.6640625" bestFit="1" customWidth="1"/>
    <col min="615" max="615" width="55" bestFit="1" customWidth="1"/>
    <col min="616" max="616" width="11.33203125" bestFit="1" customWidth="1"/>
    <col min="617" max="617" width="8.6640625" bestFit="1" customWidth="1"/>
    <col min="618" max="618" width="24.6640625" bestFit="1" customWidth="1"/>
    <col min="619" max="619" width="8.33203125" bestFit="1" customWidth="1"/>
    <col min="620" max="620" width="17.6640625" bestFit="1" customWidth="1"/>
    <col min="621" max="621" width="45.109375" bestFit="1" customWidth="1"/>
    <col min="622" max="622" width="31.33203125" bestFit="1" customWidth="1"/>
    <col min="623" max="623" width="15.6640625" bestFit="1" customWidth="1"/>
    <col min="624" max="624" width="53" bestFit="1" customWidth="1"/>
    <col min="625" max="625" width="99.88671875" bestFit="1" customWidth="1"/>
    <col min="626" max="626" width="11" bestFit="1" customWidth="1"/>
    <col min="627" max="627" width="21.6640625" bestFit="1" customWidth="1"/>
    <col min="628" max="628" width="21" bestFit="1" customWidth="1"/>
    <col min="629" max="629" width="15.88671875" bestFit="1" customWidth="1"/>
    <col min="630" max="630" width="23" bestFit="1" customWidth="1"/>
    <col min="631" max="631" width="43.33203125" bestFit="1" customWidth="1"/>
    <col min="632" max="632" width="23.109375" bestFit="1" customWidth="1"/>
    <col min="633" max="633" width="26.33203125" bestFit="1" customWidth="1"/>
    <col min="634" max="634" width="7" bestFit="1" customWidth="1"/>
    <col min="635" max="635" width="8.33203125" bestFit="1" customWidth="1"/>
    <col min="636" max="636" width="23.88671875" bestFit="1" customWidth="1"/>
    <col min="637" max="637" width="11.33203125" bestFit="1" customWidth="1"/>
    <col min="638" max="638" width="22.88671875" bestFit="1" customWidth="1"/>
    <col min="639" max="639" width="31" bestFit="1" customWidth="1"/>
    <col min="640" max="640" width="22.33203125" bestFit="1" customWidth="1"/>
    <col min="641" max="641" width="11.6640625" bestFit="1" customWidth="1"/>
    <col min="642" max="642" width="23" bestFit="1" customWidth="1"/>
    <col min="643" max="643" width="66.109375" bestFit="1" customWidth="1"/>
    <col min="644" max="644" width="48.33203125" bestFit="1" customWidth="1"/>
    <col min="645" max="645" width="48.109375" bestFit="1" customWidth="1"/>
    <col min="646" max="646" width="16.33203125" bestFit="1" customWidth="1"/>
    <col min="647" max="647" width="27.33203125" bestFit="1" customWidth="1"/>
    <col min="648" max="648" width="9.6640625" bestFit="1" customWidth="1"/>
    <col min="649" max="649" width="24.109375" bestFit="1" customWidth="1"/>
    <col min="650" max="650" width="30.6640625" bestFit="1" customWidth="1"/>
    <col min="651" max="651" width="39.88671875" bestFit="1" customWidth="1"/>
    <col min="652" max="652" width="67.33203125" bestFit="1" customWidth="1"/>
    <col min="653" max="653" width="33.88671875" bestFit="1" customWidth="1"/>
    <col min="654" max="654" width="10.33203125" bestFit="1" customWidth="1"/>
    <col min="655" max="655" width="31.88671875" bestFit="1" customWidth="1"/>
    <col min="656" max="656" width="22.6640625" bestFit="1" customWidth="1"/>
    <col min="657" max="657" width="14.33203125" bestFit="1" customWidth="1"/>
    <col min="658" max="658" width="15.6640625" bestFit="1" customWidth="1"/>
    <col min="659" max="659" width="76.88671875" bestFit="1" customWidth="1"/>
    <col min="660" max="660" width="43.6640625" bestFit="1" customWidth="1"/>
    <col min="661" max="661" width="41.33203125" bestFit="1" customWidth="1"/>
    <col min="662" max="662" width="14.33203125" bestFit="1" customWidth="1"/>
    <col min="663" max="663" width="30.88671875" bestFit="1" customWidth="1"/>
    <col min="664" max="664" width="37.6640625" bestFit="1" customWidth="1"/>
    <col min="665" max="665" width="48.6640625" bestFit="1" customWidth="1"/>
    <col min="666" max="666" width="9.33203125" bestFit="1" customWidth="1"/>
    <col min="667" max="667" width="8.33203125" bestFit="1" customWidth="1"/>
    <col min="668" max="668" width="9.33203125" bestFit="1" customWidth="1"/>
    <col min="669" max="669" width="18.6640625" bestFit="1" customWidth="1"/>
    <col min="670" max="670" width="28" bestFit="1" customWidth="1"/>
    <col min="671" max="671" width="27.33203125" bestFit="1" customWidth="1"/>
    <col min="672" max="672" width="24.6640625" bestFit="1" customWidth="1"/>
    <col min="673" max="673" width="39.33203125" bestFit="1" customWidth="1"/>
    <col min="674" max="674" width="37.109375" bestFit="1" customWidth="1"/>
    <col min="675" max="675" width="9" bestFit="1" customWidth="1"/>
    <col min="676" max="676" width="10.6640625" bestFit="1" customWidth="1"/>
    <col min="677" max="677" width="15.109375" bestFit="1" customWidth="1"/>
    <col min="678" max="679" width="31.109375" bestFit="1" customWidth="1"/>
    <col min="680" max="680" width="33" bestFit="1" customWidth="1"/>
    <col min="681" max="681" width="27.33203125" bestFit="1" customWidth="1"/>
    <col min="682" max="682" width="37.6640625" bestFit="1" customWidth="1"/>
    <col min="683" max="683" width="34.109375" bestFit="1" customWidth="1"/>
    <col min="684" max="684" width="19.33203125" bestFit="1" customWidth="1"/>
    <col min="685" max="685" width="28.33203125" bestFit="1" customWidth="1"/>
    <col min="686" max="686" width="66.33203125" bestFit="1" customWidth="1"/>
    <col min="687" max="687" width="18.88671875" bestFit="1" customWidth="1"/>
    <col min="688" max="688" width="21.109375" bestFit="1" customWidth="1"/>
    <col min="689" max="689" width="13.6640625" bestFit="1" customWidth="1"/>
    <col min="690" max="690" width="26.6640625" bestFit="1" customWidth="1"/>
    <col min="691" max="691" width="42.88671875" bestFit="1" customWidth="1"/>
    <col min="692" max="692" width="27.6640625" bestFit="1" customWidth="1"/>
    <col min="693" max="693" width="18.88671875" bestFit="1" customWidth="1"/>
    <col min="694" max="695" width="28.33203125" bestFit="1" customWidth="1"/>
    <col min="696" max="696" width="23" bestFit="1" customWidth="1"/>
    <col min="697" max="697" width="32.33203125" bestFit="1" customWidth="1"/>
    <col min="698" max="698" width="34.33203125" bestFit="1" customWidth="1"/>
    <col min="699" max="700" width="17.6640625" bestFit="1" customWidth="1"/>
    <col min="701" max="701" width="32.33203125" bestFit="1" customWidth="1"/>
    <col min="702" max="702" width="47.6640625" bestFit="1" customWidth="1"/>
    <col min="703" max="703" width="13.33203125" bestFit="1" customWidth="1"/>
    <col min="704" max="704" width="49.6640625" bestFit="1" customWidth="1"/>
    <col min="705" max="705" width="15" bestFit="1" customWidth="1"/>
    <col min="706" max="706" width="9.6640625" bestFit="1" customWidth="1"/>
    <col min="707" max="707" width="20.109375" bestFit="1" customWidth="1"/>
    <col min="708" max="708" width="11.6640625" bestFit="1" customWidth="1"/>
    <col min="709" max="709" width="12.109375" bestFit="1" customWidth="1"/>
    <col min="710" max="710" width="27.6640625" bestFit="1" customWidth="1"/>
    <col min="711" max="711" width="42.33203125" bestFit="1" customWidth="1"/>
    <col min="712" max="712" width="9.6640625" bestFit="1" customWidth="1"/>
    <col min="713" max="713" width="19.109375" bestFit="1" customWidth="1"/>
    <col min="714" max="714" width="28.33203125" bestFit="1" customWidth="1"/>
    <col min="715" max="715" width="27.33203125" bestFit="1" customWidth="1"/>
    <col min="716" max="716" width="24.6640625" bestFit="1" customWidth="1"/>
    <col min="717" max="717" width="35.33203125" bestFit="1" customWidth="1"/>
    <col min="718" max="718" width="19" bestFit="1" customWidth="1"/>
    <col min="719" max="719" width="24.33203125" bestFit="1" customWidth="1"/>
    <col min="720" max="720" width="16.33203125" bestFit="1" customWidth="1"/>
    <col min="721" max="721" width="22.6640625" bestFit="1" customWidth="1"/>
    <col min="722" max="722" width="28" bestFit="1" customWidth="1"/>
    <col min="723" max="723" width="19.33203125" bestFit="1" customWidth="1"/>
    <col min="724" max="724" width="16.33203125" bestFit="1" customWidth="1"/>
    <col min="725" max="725" width="14" bestFit="1" customWidth="1"/>
    <col min="726" max="726" width="77.33203125" bestFit="1" customWidth="1"/>
    <col min="727" max="727" width="77" bestFit="1" customWidth="1"/>
    <col min="728" max="728" width="75.33203125" bestFit="1" customWidth="1"/>
    <col min="729" max="729" width="15" bestFit="1" customWidth="1"/>
    <col min="730" max="730" width="71.6640625" bestFit="1" customWidth="1"/>
    <col min="731" max="731" width="24.6640625" bestFit="1" customWidth="1"/>
    <col min="732" max="732" width="29.6640625" bestFit="1" customWidth="1"/>
    <col min="733" max="733" width="35.109375" bestFit="1" customWidth="1"/>
    <col min="734" max="734" width="12.33203125" bestFit="1" customWidth="1"/>
    <col min="735" max="735" width="50.88671875" bestFit="1" customWidth="1"/>
    <col min="736" max="736" width="33.88671875" bestFit="1" customWidth="1"/>
    <col min="737" max="737" width="44" bestFit="1" customWidth="1"/>
    <col min="738" max="738" width="60" bestFit="1" customWidth="1"/>
    <col min="739" max="739" width="16.109375" bestFit="1" customWidth="1"/>
    <col min="740" max="740" width="31.88671875" bestFit="1" customWidth="1"/>
    <col min="741" max="741" width="30.33203125" bestFit="1" customWidth="1"/>
    <col min="742" max="742" width="32.88671875" bestFit="1" customWidth="1"/>
    <col min="743" max="743" width="8.6640625" bestFit="1" customWidth="1"/>
    <col min="744" max="744" width="11.33203125" bestFit="1" customWidth="1"/>
    <col min="745" max="745" width="20.6640625" bestFit="1" customWidth="1"/>
    <col min="746" max="747" width="60.6640625" bestFit="1" customWidth="1"/>
    <col min="748" max="748" width="43.33203125" bestFit="1" customWidth="1"/>
    <col min="749" max="749" width="17.6640625" bestFit="1" customWidth="1"/>
    <col min="750" max="751" width="25.88671875" bestFit="1" customWidth="1"/>
    <col min="752" max="752" width="10.6640625" bestFit="1" customWidth="1"/>
    <col min="753" max="753" width="46" bestFit="1" customWidth="1"/>
    <col min="754" max="754" width="8.33203125" bestFit="1" customWidth="1"/>
    <col min="755" max="755" width="10.33203125" bestFit="1" customWidth="1"/>
    <col min="756" max="756" width="36.88671875" bestFit="1" customWidth="1"/>
    <col min="757" max="757" width="10" bestFit="1" customWidth="1"/>
    <col min="758" max="758" width="57.6640625" bestFit="1" customWidth="1"/>
    <col min="759" max="759" width="6.6640625" bestFit="1" customWidth="1"/>
    <col min="760" max="761" width="13.6640625" bestFit="1" customWidth="1"/>
    <col min="762" max="762" width="25.33203125" bestFit="1" customWidth="1"/>
    <col min="763" max="763" width="27" bestFit="1" customWidth="1"/>
    <col min="764" max="765" width="18.33203125" bestFit="1" customWidth="1"/>
    <col min="766" max="766" width="15.6640625" bestFit="1" customWidth="1"/>
    <col min="767" max="767" width="39.6640625" bestFit="1" customWidth="1"/>
    <col min="768" max="768" width="85.109375" bestFit="1" customWidth="1"/>
    <col min="769" max="769" width="26" bestFit="1" customWidth="1"/>
    <col min="770" max="770" width="30.88671875" bestFit="1" customWidth="1"/>
    <col min="771" max="772" width="25.6640625" bestFit="1" customWidth="1"/>
    <col min="773" max="773" width="23" bestFit="1" customWidth="1"/>
    <col min="774" max="774" width="17.33203125" bestFit="1" customWidth="1"/>
    <col min="775" max="775" width="20.33203125" bestFit="1" customWidth="1"/>
    <col min="776" max="776" width="20.6640625" bestFit="1" customWidth="1"/>
    <col min="777" max="777" width="31" bestFit="1" customWidth="1"/>
    <col min="778" max="778" width="16.33203125" bestFit="1" customWidth="1"/>
    <col min="779" max="779" width="93.109375" bestFit="1" customWidth="1"/>
    <col min="780" max="780" width="103.109375" bestFit="1" customWidth="1"/>
    <col min="781" max="781" width="76.6640625" bestFit="1" customWidth="1"/>
    <col min="782" max="782" width="24.33203125" bestFit="1" customWidth="1"/>
    <col min="783" max="783" width="63" bestFit="1" customWidth="1"/>
    <col min="784" max="784" width="38.33203125" bestFit="1" customWidth="1"/>
    <col min="785" max="785" width="80.33203125" bestFit="1" customWidth="1"/>
    <col min="786" max="786" width="17.33203125" bestFit="1" customWidth="1"/>
    <col min="787" max="787" width="27.6640625" bestFit="1" customWidth="1"/>
    <col min="788" max="788" width="26.88671875" bestFit="1" customWidth="1"/>
    <col min="789" max="789" width="20.6640625" bestFit="1" customWidth="1"/>
    <col min="790" max="790" width="28.33203125" bestFit="1" customWidth="1"/>
    <col min="791" max="791" width="40.6640625" bestFit="1" customWidth="1"/>
    <col min="792" max="792" width="43.33203125" bestFit="1" customWidth="1"/>
    <col min="793" max="793" width="17.109375" bestFit="1" customWidth="1"/>
    <col min="794" max="794" width="86.6640625" bestFit="1" customWidth="1"/>
    <col min="795" max="795" width="8.6640625" bestFit="1" customWidth="1"/>
    <col min="796" max="796" width="15.33203125" bestFit="1" customWidth="1"/>
    <col min="797" max="798" width="25.109375" bestFit="1" customWidth="1"/>
    <col min="799" max="799" width="40.33203125" bestFit="1" customWidth="1"/>
    <col min="800" max="800" width="19.6640625" bestFit="1" customWidth="1"/>
    <col min="801" max="801" width="24" bestFit="1" customWidth="1"/>
    <col min="802" max="802" width="19.6640625" bestFit="1" customWidth="1"/>
    <col min="803" max="803" width="10.6640625" bestFit="1" customWidth="1"/>
    <col min="804" max="804" width="34.6640625" bestFit="1" customWidth="1"/>
    <col min="805" max="806" width="23.109375" bestFit="1" customWidth="1"/>
    <col min="807" max="807" width="21.33203125" bestFit="1" customWidth="1"/>
    <col min="808" max="808" width="30.88671875" bestFit="1" customWidth="1"/>
    <col min="809" max="809" width="21.6640625" bestFit="1" customWidth="1"/>
    <col min="810" max="810" width="91.33203125" bestFit="1" customWidth="1"/>
    <col min="811" max="811" width="52" bestFit="1" customWidth="1"/>
    <col min="812" max="812" width="44.33203125" bestFit="1" customWidth="1"/>
    <col min="813" max="813" width="67.88671875" bestFit="1" customWidth="1"/>
    <col min="814" max="814" width="30" bestFit="1" customWidth="1"/>
    <col min="815" max="815" width="11.6640625" bestFit="1" customWidth="1"/>
    <col min="816" max="816" width="14.33203125" bestFit="1" customWidth="1"/>
    <col min="817" max="817" width="30.88671875" bestFit="1" customWidth="1"/>
    <col min="818" max="818" width="14.6640625" bestFit="1" customWidth="1"/>
    <col min="819" max="819" width="7" bestFit="1" customWidth="1"/>
    <col min="820" max="820" width="98" bestFit="1" customWidth="1"/>
    <col min="821" max="821" width="60.109375" bestFit="1" customWidth="1"/>
    <col min="822" max="822" width="29" bestFit="1" customWidth="1"/>
    <col min="823" max="823" width="22.88671875" bestFit="1" customWidth="1"/>
    <col min="824" max="824" width="20.88671875" bestFit="1" customWidth="1"/>
    <col min="825" max="825" width="17.33203125" bestFit="1" customWidth="1"/>
    <col min="826" max="826" width="26.33203125" bestFit="1" customWidth="1"/>
    <col min="827" max="827" width="28.33203125" bestFit="1" customWidth="1"/>
    <col min="828" max="828" width="10" bestFit="1" customWidth="1"/>
    <col min="829" max="829" width="20.33203125" bestFit="1" customWidth="1"/>
    <col min="830" max="830" width="22.33203125" bestFit="1" customWidth="1"/>
    <col min="831" max="831" width="35.6640625" bestFit="1" customWidth="1"/>
    <col min="832" max="832" width="14.109375" bestFit="1" customWidth="1"/>
    <col min="833" max="833" width="27.33203125" bestFit="1" customWidth="1"/>
    <col min="834" max="834" width="6.33203125" bestFit="1" customWidth="1"/>
    <col min="835" max="835" width="15.33203125" bestFit="1" customWidth="1"/>
    <col min="836" max="836" width="18.109375" bestFit="1" customWidth="1"/>
    <col min="837" max="837" width="40.33203125" bestFit="1" customWidth="1"/>
    <col min="838" max="839" width="45.6640625" bestFit="1" customWidth="1"/>
    <col min="840" max="840" width="21.33203125" bestFit="1" customWidth="1"/>
    <col min="841" max="841" width="13.109375" bestFit="1" customWidth="1"/>
    <col min="842" max="842" width="36.33203125" bestFit="1" customWidth="1"/>
    <col min="843" max="843" width="10" bestFit="1" customWidth="1"/>
    <col min="844" max="844" width="32" bestFit="1" customWidth="1"/>
    <col min="845" max="845" width="42.6640625" bestFit="1" customWidth="1"/>
    <col min="846" max="846" width="11.33203125" bestFit="1" customWidth="1"/>
    <col min="847" max="847" width="21.6640625" bestFit="1" customWidth="1"/>
    <col min="848" max="848" width="22.33203125" bestFit="1" customWidth="1"/>
    <col min="849" max="849" width="23.33203125" bestFit="1" customWidth="1"/>
    <col min="850" max="850" width="22.6640625" bestFit="1" customWidth="1"/>
    <col min="851" max="851" width="19.88671875" bestFit="1" customWidth="1"/>
    <col min="852" max="852" width="38" bestFit="1" customWidth="1"/>
    <col min="853" max="853" width="29.109375" bestFit="1" customWidth="1"/>
    <col min="854" max="854" width="34.6640625" bestFit="1" customWidth="1"/>
    <col min="855" max="855" width="31.33203125" bestFit="1" customWidth="1"/>
    <col min="856" max="856" width="16" bestFit="1" customWidth="1"/>
    <col min="857" max="857" width="30" bestFit="1" customWidth="1"/>
    <col min="858" max="858" width="29.6640625" bestFit="1" customWidth="1"/>
    <col min="859" max="859" width="29.33203125" bestFit="1" customWidth="1"/>
    <col min="860" max="860" width="70.33203125" bestFit="1" customWidth="1"/>
    <col min="861" max="861" width="23.6640625" bestFit="1" customWidth="1"/>
    <col min="862" max="862" width="26.33203125" bestFit="1" customWidth="1"/>
    <col min="863" max="863" width="31.109375" bestFit="1" customWidth="1"/>
    <col min="864" max="864" width="12" bestFit="1" customWidth="1"/>
    <col min="865" max="865" width="59.6640625" bestFit="1" customWidth="1"/>
    <col min="866" max="866" width="28.33203125" bestFit="1" customWidth="1"/>
    <col min="867" max="867" width="24" bestFit="1" customWidth="1"/>
    <col min="868" max="868" width="12.6640625" bestFit="1" customWidth="1"/>
    <col min="869" max="869" width="15.109375" bestFit="1" customWidth="1"/>
    <col min="870" max="870" width="33.33203125" bestFit="1" customWidth="1"/>
    <col min="871" max="871" width="41.33203125" bestFit="1" customWidth="1"/>
    <col min="872" max="872" width="28" bestFit="1" customWidth="1"/>
    <col min="873" max="873" width="47.6640625" bestFit="1" customWidth="1"/>
    <col min="874" max="874" width="46.33203125" bestFit="1" customWidth="1"/>
    <col min="875" max="875" width="32.6640625" bestFit="1" customWidth="1"/>
    <col min="876" max="876" width="32.88671875" bestFit="1" customWidth="1"/>
    <col min="877" max="877" width="28.109375" bestFit="1" customWidth="1"/>
    <col min="878" max="878" width="49.6640625" bestFit="1" customWidth="1"/>
    <col min="879" max="879" width="60.33203125" bestFit="1" customWidth="1"/>
    <col min="880" max="880" width="65.33203125" bestFit="1" customWidth="1"/>
    <col min="881" max="881" width="23.6640625" bestFit="1" customWidth="1"/>
    <col min="882" max="882" width="24.6640625" bestFit="1" customWidth="1"/>
    <col min="883" max="883" width="57.6640625" bestFit="1" customWidth="1"/>
    <col min="884" max="884" width="11.109375" bestFit="1" customWidth="1"/>
    <col min="885" max="885" width="32.109375" bestFit="1" customWidth="1"/>
    <col min="886" max="886" width="15.109375" bestFit="1" customWidth="1"/>
    <col min="887" max="887" width="26.33203125" bestFit="1" customWidth="1"/>
    <col min="888" max="888" width="38.6640625" bestFit="1" customWidth="1"/>
    <col min="889" max="889" width="35.109375" bestFit="1" customWidth="1"/>
    <col min="890" max="890" width="32.109375" bestFit="1" customWidth="1"/>
    <col min="891" max="891" width="32.6640625" bestFit="1" customWidth="1"/>
    <col min="892" max="892" width="37" bestFit="1" customWidth="1"/>
    <col min="893" max="893" width="14.6640625" bestFit="1" customWidth="1"/>
    <col min="894" max="894" width="21.88671875" bestFit="1" customWidth="1"/>
    <col min="895" max="895" width="44.6640625" bestFit="1" customWidth="1"/>
    <col min="896" max="896" width="12.33203125" bestFit="1" customWidth="1"/>
    <col min="897" max="897" width="11.33203125" bestFit="1" customWidth="1"/>
    <col min="898" max="898" width="28" bestFit="1" customWidth="1"/>
    <col min="899" max="899" width="29.6640625" bestFit="1" customWidth="1"/>
    <col min="900" max="900" width="21" bestFit="1" customWidth="1"/>
    <col min="901" max="901" width="43.88671875" bestFit="1" customWidth="1"/>
    <col min="902" max="902" width="19.6640625" bestFit="1" customWidth="1"/>
    <col min="903" max="903" width="30.109375" bestFit="1" customWidth="1"/>
    <col min="904" max="904" width="19.6640625" bestFit="1" customWidth="1"/>
    <col min="905" max="905" width="25" bestFit="1" customWidth="1"/>
    <col min="906" max="906" width="24.6640625" bestFit="1" customWidth="1"/>
    <col min="907" max="907" width="19.6640625" bestFit="1" customWidth="1"/>
    <col min="908" max="908" width="18.6640625" bestFit="1" customWidth="1"/>
    <col min="909" max="909" width="9.6640625" bestFit="1" customWidth="1"/>
    <col min="910" max="910" width="14.88671875" bestFit="1" customWidth="1"/>
    <col min="911" max="911" width="11.88671875" bestFit="1" customWidth="1"/>
    <col min="912" max="912" width="35.109375" bestFit="1" customWidth="1"/>
    <col min="913" max="913" width="9.33203125" bestFit="1" customWidth="1"/>
    <col min="914" max="914" width="95.33203125" bestFit="1" customWidth="1"/>
    <col min="915" max="915" width="12.33203125" bestFit="1" customWidth="1"/>
    <col min="916" max="916" width="39.6640625" bestFit="1" customWidth="1"/>
    <col min="917" max="917" width="53.33203125" bestFit="1" customWidth="1"/>
    <col min="918" max="918" width="12.33203125" bestFit="1" customWidth="1"/>
    <col min="919" max="919" width="35.33203125" bestFit="1" customWidth="1"/>
    <col min="920" max="920" width="24" bestFit="1" customWidth="1"/>
    <col min="921" max="921" width="27.88671875" bestFit="1" customWidth="1"/>
    <col min="922" max="922" width="30" bestFit="1" customWidth="1"/>
    <col min="923" max="923" width="32.6640625" bestFit="1" customWidth="1"/>
    <col min="924" max="924" width="32" bestFit="1" customWidth="1"/>
    <col min="925" max="925" width="12.33203125" bestFit="1" customWidth="1"/>
    <col min="926" max="926" width="26.6640625" bestFit="1" customWidth="1"/>
    <col min="927" max="927" width="23.88671875" bestFit="1" customWidth="1"/>
    <col min="928" max="928" width="19.6640625" bestFit="1" customWidth="1"/>
    <col min="929" max="929" width="96.6640625" bestFit="1" customWidth="1"/>
    <col min="930" max="930" width="101.88671875" bestFit="1" customWidth="1"/>
    <col min="931" max="931" width="32.6640625" bestFit="1" customWidth="1"/>
    <col min="932" max="932" width="26" bestFit="1" customWidth="1"/>
    <col min="933" max="933" width="7" bestFit="1" customWidth="1"/>
    <col min="934" max="934" width="44" bestFit="1" customWidth="1"/>
    <col min="935" max="935" width="18.33203125" bestFit="1" customWidth="1"/>
    <col min="936" max="936" width="19.6640625" bestFit="1" customWidth="1"/>
    <col min="937" max="937" width="19.33203125" bestFit="1" customWidth="1"/>
    <col min="938" max="938" width="8.33203125" bestFit="1" customWidth="1"/>
    <col min="939" max="939" width="18.33203125" bestFit="1" customWidth="1"/>
    <col min="940" max="940" width="21.33203125" bestFit="1" customWidth="1"/>
    <col min="941" max="941" width="21.88671875" bestFit="1" customWidth="1"/>
    <col min="942" max="942" width="14.88671875" bestFit="1" customWidth="1"/>
    <col min="943" max="943" width="16.6640625" bestFit="1" customWidth="1"/>
    <col min="944" max="944" width="13.33203125" bestFit="1" customWidth="1"/>
    <col min="945" max="945" width="18.6640625" bestFit="1" customWidth="1"/>
    <col min="946" max="946" width="19.88671875" bestFit="1" customWidth="1"/>
    <col min="947" max="947" width="24" bestFit="1" customWidth="1"/>
    <col min="948" max="948" width="34" bestFit="1" customWidth="1"/>
    <col min="949" max="949" width="13.33203125" bestFit="1" customWidth="1"/>
    <col min="950" max="950" width="26.109375" bestFit="1" customWidth="1"/>
    <col min="951" max="951" width="20.6640625" bestFit="1" customWidth="1"/>
    <col min="952" max="952" width="16.33203125" bestFit="1" customWidth="1"/>
    <col min="953" max="953" width="13.6640625" bestFit="1" customWidth="1"/>
    <col min="954" max="954" width="39.6640625" bestFit="1" customWidth="1"/>
    <col min="955" max="955" width="31.6640625" bestFit="1" customWidth="1"/>
    <col min="956" max="956" width="54.88671875" bestFit="1" customWidth="1"/>
    <col min="957" max="957" width="9.33203125" bestFit="1" customWidth="1"/>
    <col min="958" max="958" width="37.33203125" bestFit="1" customWidth="1"/>
    <col min="959" max="959" width="55.33203125" bestFit="1" customWidth="1"/>
    <col min="960" max="960" width="42.88671875" bestFit="1" customWidth="1"/>
    <col min="961" max="962" width="27.33203125" bestFit="1" customWidth="1"/>
    <col min="963" max="963" width="32.6640625" bestFit="1" customWidth="1"/>
    <col min="964" max="964" width="28.6640625" bestFit="1" customWidth="1"/>
    <col min="965" max="965" width="35.33203125" bestFit="1" customWidth="1"/>
    <col min="966" max="966" width="43.33203125" bestFit="1" customWidth="1"/>
    <col min="967" max="967" width="38.33203125" bestFit="1" customWidth="1"/>
    <col min="968" max="968" width="14.33203125" bestFit="1" customWidth="1"/>
    <col min="969" max="969" width="20.6640625" bestFit="1" customWidth="1"/>
    <col min="970" max="970" width="61.33203125" bestFit="1" customWidth="1"/>
    <col min="971" max="971" width="30.6640625" bestFit="1" customWidth="1"/>
    <col min="972" max="972" width="10.6640625" bestFit="1" customWidth="1"/>
    <col min="973" max="973" width="55.33203125" bestFit="1" customWidth="1"/>
    <col min="974" max="974" width="12.6640625" bestFit="1" customWidth="1"/>
    <col min="975" max="975" width="29.6640625" bestFit="1" customWidth="1"/>
    <col min="976" max="976" width="10.109375" bestFit="1" customWidth="1"/>
    <col min="977" max="977" width="8.33203125" bestFit="1" customWidth="1"/>
    <col min="978" max="978" width="50.6640625" bestFit="1" customWidth="1"/>
    <col min="979" max="979" width="98.33203125" bestFit="1" customWidth="1"/>
    <col min="980" max="980" width="9.33203125" bestFit="1" customWidth="1"/>
    <col min="981" max="981" width="55.88671875" bestFit="1" customWidth="1"/>
    <col min="982" max="982" width="15.6640625" bestFit="1" customWidth="1"/>
    <col min="983" max="983" width="14.6640625" bestFit="1" customWidth="1"/>
    <col min="984" max="984" width="47.6640625" bestFit="1" customWidth="1"/>
    <col min="985" max="985" width="30.88671875" bestFit="1" customWidth="1"/>
    <col min="986" max="986" width="22.33203125" bestFit="1" customWidth="1"/>
    <col min="987" max="987" width="50.88671875" bestFit="1" customWidth="1"/>
    <col min="988" max="988" width="78.6640625" bestFit="1" customWidth="1"/>
    <col min="989" max="989" width="31.33203125" bestFit="1" customWidth="1"/>
    <col min="990" max="990" width="7" bestFit="1" customWidth="1"/>
    <col min="991" max="991" width="28.33203125" bestFit="1" customWidth="1"/>
    <col min="992" max="992" width="99" bestFit="1" customWidth="1"/>
    <col min="993" max="993" width="61.33203125" bestFit="1" customWidth="1"/>
    <col min="994" max="994" width="62.88671875" bestFit="1" customWidth="1"/>
    <col min="995" max="995" width="15.109375" bestFit="1" customWidth="1"/>
    <col min="996" max="996" width="34.109375" bestFit="1" customWidth="1"/>
    <col min="997" max="997" width="10.33203125" bestFit="1" customWidth="1"/>
    <col min="998" max="998" width="12.6640625" bestFit="1" customWidth="1"/>
    <col min="999" max="999" width="18" bestFit="1" customWidth="1"/>
    <col min="1000" max="1000" width="29.6640625" bestFit="1" customWidth="1"/>
    <col min="1001" max="1001" width="12.109375" bestFit="1" customWidth="1"/>
    <col min="1002" max="1002" width="7" bestFit="1" customWidth="1"/>
    <col min="1003" max="1003" width="48.33203125" bestFit="1" customWidth="1"/>
    <col min="1004" max="1004" width="31.6640625" bestFit="1" customWidth="1"/>
    <col min="1005" max="1005" width="49" bestFit="1" customWidth="1"/>
    <col min="1006" max="1006" width="19.6640625" bestFit="1" customWidth="1"/>
    <col min="1007" max="1007" width="11.6640625" bestFit="1" customWidth="1"/>
    <col min="1008" max="1008" width="26.88671875" bestFit="1" customWidth="1"/>
    <col min="1009" max="1009" width="22.6640625" bestFit="1" customWidth="1"/>
    <col min="1010" max="1010" width="12.88671875" bestFit="1" customWidth="1"/>
    <col min="1011" max="1011" width="13.6640625" bestFit="1" customWidth="1"/>
    <col min="1012" max="1012" width="17.33203125" bestFit="1" customWidth="1"/>
    <col min="1013" max="1013" width="9.33203125" bestFit="1" customWidth="1"/>
    <col min="1014" max="1014" width="14.33203125" bestFit="1" customWidth="1"/>
    <col min="1015" max="1015" width="10.33203125" bestFit="1" customWidth="1"/>
    <col min="1016" max="1016" width="43.33203125" bestFit="1" customWidth="1"/>
    <col min="1017" max="1017" width="26.33203125" bestFit="1" customWidth="1"/>
    <col min="1018" max="1018" width="10.33203125" bestFit="1" customWidth="1"/>
    <col min="1019" max="1019" width="12.33203125" bestFit="1" customWidth="1"/>
    <col min="1020" max="1020" width="49.33203125" bestFit="1" customWidth="1"/>
    <col min="1021" max="1021" width="39.33203125" bestFit="1" customWidth="1"/>
    <col min="1022" max="1022" width="48.6640625" bestFit="1" customWidth="1"/>
    <col min="1023" max="1023" width="48.88671875" bestFit="1" customWidth="1"/>
    <col min="1024" max="1024" width="77.88671875" bestFit="1" customWidth="1"/>
    <col min="1025" max="1025" width="45.33203125" bestFit="1" customWidth="1"/>
    <col min="1026" max="1026" width="14" bestFit="1" customWidth="1"/>
    <col min="1027" max="1027" width="19.33203125" bestFit="1" customWidth="1"/>
    <col min="1028" max="1028" width="48.6640625" bestFit="1" customWidth="1"/>
    <col min="1029" max="1029" width="11" bestFit="1" customWidth="1"/>
    <col min="1030" max="1030" width="15.6640625" bestFit="1" customWidth="1"/>
    <col min="1031" max="1031" width="7" bestFit="1" customWidth="1"/>
    <col min="1032" max="1032" width="11" bestFit="1" customWidth="1"/>
    <col min="1033" max="1033" width="15.109375" bestFit="1" customWidth="1"/>
    <col min="1034" max="1034" width="9.6640625" bestFit="1" customWidth="1"/>
    <col min="1035" max="1035" width="47.6640625" bestFit="1" customWidth="1"/>
    <col min="1036" max="1036" width="27.33203125" bestFit="1" customWidth="1"/>
    <col min="1037" max="1037" width="14.33203125" bestFit="1" customWidth="1"/>
    <col min="1038" max="1038" width="15.6640625" bestFit="1" customWidth="1"/>
    <col min="1039" max="1039" width="47.33203125" bestFit="1" customWidth="1"/>
    <col min="1040" max="1040" width="49.33203125" bestFit="1" customWidth="1"/>
    <col min="1041" max="1041" width="34.6640625" bestFit="1" customWidth="1"/>
    <col min="1042" max="1042" width="13.6640625" bestFit="1" customWidth="1"/>
    <col min="1043" max="1043" width="24.88671875" bestFit="1" customWidth="1"/>
    <col min="1044" max="1044" width="24.6640625" bestFit="1" customWidth="1"/>
    <col min="1045" max="1045" width="32.33203125" bestFit="1" customWidth="1"/>
    <col min="1046" max="1046" width="42.33203125" bestFit="1" customWidth="1"/>
    <col min="1047" max="1047" width="17.6640625" bestFit="1" customWidth="1"/>
    <col min="1048" max="1048" width="51.6640625" bestFit="1" customWidth="1"/>
    <col min="1049" max="1049" width="61.88671875" bestFit="1" customWidth="1"/>
    <col min="1050" max="1050" width="16.6640625" bestFit="1" customWidth="1"/>
    <col min="1051" max="1051" width="43.33203125" bestFit="1" customWidth="1"/>
    <col min="1052" max="1052" width="35.33203125" bestFit="1" customWidth="1"/>
    <col min="1053" max="1053" width="33.6640625" bestFit="1" customWidth="1"/>
    <col min="1054" max="1054" width="10" bestFit="1" customWidth="1"/>
    <col min="1055" max="1055" width="16.6640625" bestFit="1" customWidth="1"/>
    <col min="1056" max="1056" width="14" bestFit="1" customWidth="1"/>
    <col min="1057" max="1057" width="17.109375" bestFit="1" customWidth="1"/>
    <col min="1058" max="1058" width="14" bestFit="1" customWidth="1"/>
    <col min="1059" max="1059" width="16.6640625" bestFit="1" customWidth="1"/>
    <col min="1060" max="1060" width="14.6640625" bestFit="1" customWidth="1"/>
    <col min="1061" max="1061" width="10.88671875" bestFit="1" customWidth="1"/>
    <col min="1062" max="1062" width="17.6640625" bestFit="1" customWidth="1"/>
    <col min="1063" max="1063" width="27.33203125" bestFit="1" customWidth="1"/>
    <col min="1064" max="1064" width="14.33203125" bestFit="1" customWidth="1"/>
    <col min="1065" max="1065" width="24.33203125" bestFit="1" customWidth="1"/>
    <col min="1066" max="1066" width="17.33203125" bestFit="1" customWidth="1"/>
    <col min="1067" max="1067" width="46.88671875" bestFit="1" customWidth="1"/>
    <col min="1068" max="1068" width="29.6640625" bestFit="1" customWidth="1"/>
    <col min="1069" max="1069" width="27.6640625" bestFit="1" customWidth="1"/>
    <col min="1070" max="1070" width="94" bestFit="1" customWidth="1"/>
    <col min="1071" max="1071" width="97.6640625" bestFit="1" customWidth="1"/>
    <col min="1072" max="1072" width="21.6640625" bestFit="1" customWidth="1"/>
    <col min="1073" max="1073" width="30" bestFit="1" customWidth="1"/>
    <col min="1074" max="1074" width="31.6640625" bestFit="1" customWidth="1"/>
    <col min="1075" max="1075" width="37.33203125" bestFit="1" customWidth="1"/>
    <col min="1076" max="1076" width="28.33203125" bestFit="1" customWidth="1"/>
    <col min="1077" max="1077" width="38.88671875" bestFit="1" customWidth="1"/>
    <col min="1078" max="1078" width="41.109375" bestFit="1" customWidth="1"/>
    <col min="1079" max="1079" width="23.88671875" bestFit="1" customWidth="1"/>
    <col min="1080" max="1080" width="27.33203125" bestFit="1" customWidth="1"/>
    <col min="1081" max="1081" width="17.88671875" bestFit="1" customWidth="1"/>
    <col min="1082" max="1082" width="19.6640625" bestFit="1" customWidth="1"/>
    <col min="1083" max="1083" width="41.6640625" bestFit="1" customWidth="1"/>
    <col min="1084" max="1084" width="56.88671875" bestFit="1" customWidth="1"/>
    <col min="1085" max="1085" width="34.88671875" bestFit="1" customWidth="1"/>
    <col min="1086" max="1086" width="24.33203125" bestFit="1" customWidth="1"/>
    <col min="1087" max="1087" width="7" bestFit="1" customWidth="1"/>
    <col min="1088" max="1088" width="12.33203125" bestFit="1" customWidth="1"/>
    <col min="1089" max="1089" width="58.109375" bestFit="1" customWidth="1"/>
    <col min="1090" max="1090" width="65.6640625" bestFit="1" customWidth="1"/>
    <col min="1091" max="1091" width="75.6640625" bestFit="1" customWidth="1"/>
    <col min="1092" max="1092" width="28.6640625" bestFit="1" customWidth="1"/>
    <col min="1093" max="1093" width="36.6640625" bestFit="1" customWidth="1"/>
    <col min="1094" max="1094" width="48.109375" bestFit="1" customWidth="1"/>
    <col min="1095" max="1095" width="25.109375" bestFit="1" customWidth="1"/>
    <col min="1096" max="1096" width="32.88671875" bestFit="1" customWidth="1"/>
    <col min="1097" max="1097" width="16.33203125" bestFit="1" customWidth="1"/>
    <col min="1098" max="1098" width="26.6640625" bestFit="1" customWidth="1"/>
    <col min="1099" max="1099" width="37.33203125" bestFit="1" customWidth="1"/>
    <col min="1100" max="1100" width="11.33203125" bestFit="1" customWidth="1"/>
    <col min="1101" max="1101" width="28.33203125" bestFit="1" customWidth="1"/>
    <col min="1102" max="1103" width="19.6640625" bestFit="1" customWidth="1"/>
    <col min="1104" max="1104" width="35.88671875" bestFit="1" customWidth="1"/>
    <col min="1105" max="1105" width="19.6640625" bestFit="1" customWidth="1"/>
    <col min="1106" max="1106" width="17.6640625" bestFit="1" customWidth="1"/>
    <col min="1107" max="1107" width="22.6640625" bestFit="1" customWidth="1"/>
    <col min="1108" max="1108" width="15.6640625" bestFit="1" customWidth="1"/>
    <col min="1109" max="1109" width="14.6640625" bestFit="1" customWidth="1"/>
    <col min="1110" max="1110" width="22.88671875" bestFit="1" customWidth="1"/>
    <col min="1111" max="1111" width="27.6640625" bestFit="1" customWidth="1"/>
    <col min="1112" max="1114" width="32.88671875" bestFit="1" customWidth="1"/>
    <col min="1115" max="1115" width="83" bestFit="1" customWidth="1"/>
    <col min="1116" max="1116" width="7.33203125" bestFit="1" customWidth="1"/>
    <col min="1117" max="1117" width="18.109375" bestFit="1" customWidth="1"/>
    <col min="1118" max="1118" width="6.109375" bestFit="1" customWidth="1"/>
    <col min="1119" max="1119" width="14.6640625" bestFit="1" customWidth="1"/>
    <col min="1120" max="1120" width="73.109375" bestFit="1" customWidth="1"/>
    <col min="1121" max="1121" width="34.33203125" bestFit="1" customWidth="1"/>
    <col min="1122" max="1122" width="41.33203125" bestFit="1" customWidth="1"/>
    <col min="1123" max="1123" width="66.33203125" bestFit="1" customWidth="1"/>
    <col min="1124" max="1124" width="76.88671875" bestFit="1" customWidth="1"/>
    <col min="1125" max="1125" width="42.6640625" bestFit="1" customWidth="1"/>
    <col min="1126" max="1127" width="36.6640625" bestFit="1" customWidth="1"/>
    <col min="1128" max="1128" width="43.33203125" bestFit="1" customWidth="1"/>
    <col min="1129" max="1129" width="9" bestFit="1" customWidth="1"/>
    <col min="1130" max="1130" width="43.88671875" bestFit="1" customWidth="1"/>
    <col min="1131" max="1131" width="39.6640625" bestFit="1" customWidth="1"/>
    <col min="1132" max="1132" width="23.6640625" bestFit="1" customWidth="1"/>
    <col min="1133" max="1133" width="9.6640625" bestFit="1" customWidth="1"/>
    <col min="1134" max="1134" width="8.33203125" bestFit="1" customWidth="1"/>
    <col min="1135" max="1135" width="17.33203125" bestFit="1" customWidth="1"/>
    <col min="1136" max="1136" width="48.6640625" bestFit="1" customWidth="1"/>
    <col min="1137" max="1137" width="31.109375" bestFit="1" customWidth="1"/>
    <col min="1138" max="1138" width="26.33203125" bestFit="1" customWidth="1"/>
    <col min="1139" max="1139" width="23.33203125" bestFit="1" customWidth="1"/>
    <col min="1140" max="1140" width="15.6640625" bestFit="1" customWidth="1"/>
    <col min="1141" max="1141" width="35.88671875" bestFit="1" customWidth="1"/>
    <col min="1142" max="1142" width="33.33203125" bestFit="1" customWidth="1"/>
    <col min="1143" max="1143" width="34.6640625" bestFit="1" customWidth="1"/>
    <col min="1144" max="1144" width="27.109375" bestFit="1" customWidth="1"/>
    <col min="1145" max="1145" width="40.6640625" bestFit="1" customWidth="1"/>
    <col min="1146" max="1146" width="52.88671875" bestFit="1" customWidth="1"/>
    <col min="1147" max="1147" width="24" bestFit="1" customWidth="1"/>
    <col min="1148" max="1149" width="15.33203125" bestFit="1" customWidth="1"/>
    <col min="1150" max="1150" width="13.88671875" bestFit="1" customWidth="1"/>
    <col min="1151" max="1151" width="31.109375" bestFit="1" customWidth="1"/>
    <col min="1152" max="1152" width="40.88671875" bestFit="1" customWidth="1"/>
    <col min="1153" max="1153" width="15.6640625" bestFit="1" customWidth="1"/>
    <col min="1154" max="1154" width="18.6640625" bestFit="1" customWidth="1"/>
    <col min="1155" max="1155" width="18.33203125" bestFit="1" customWidth="1"/>
    <col min="1156" max="1156" width="17.33203125" bestFit="1" customWidth="1"/>
    <col min="1157" max="1157" width="19.33203125" bestFit="1" customWidth="1"/>
    <col min="1158" max="1158" width="9.6640625" bestFit="1" customWidth="1"/>
    <col min="1159" max="1159" width="24.6640625" bestFit="1" customWidth="1"/>
    <col min="1160" max="1160" width="20.6640625" bestFit="1" customWidth="1"/>
    <col min="1161" max="1161" width="26.33203125" bestFit="1" customWidth="1"/>
    <col min="1162" max="1162" width="26.88671875" bestFit="1" customWidth="1"/>
    <col min="1163" max="1163" width="32.33203125" bestFit="1" customWidth="1"/>
    <col min="1164" max="1164" width="22.88671875" bestFit="1" customWidth="1"/>
    <col min="1165" max="1165" width="14" bestFit="1" customWidth="1"/>
    <col min="1166" max="1166" width="21.109375" bestFit="1" customWidth="1"/>
    <col min="1167" max="1167" width="22.109375" bestFit="1" customWidth="1"/>
    <col min="1168" max="1168" width="13.6640625" bestFit="1" customWidth="1"/>
    <col min="1169" max="1169" width="27.88671875" bestFit="1" customWidth="1"/>
    <col min="1170" max="1170" width="8.33203125" bestFit="1" customWidth="1"/>
    <col min="1171" max="1171" width="20" bestFit="1" customWidth="1"/>
    <col min="1172" max="1172" width="46.33203125" bestFit="1" customWidth="1"/>
    <col min="1173" max="1173" width="20" bestFit="1" customWidth="1"/>
    <col min="1174" max="1174" width="21.109375" bestFit="1" customWidth="1"/>
    <col min="1175" max="1175" width="24" bestFit="1" customWidth="1"/>
    <col min="1176" max="1176" width="24.33203125" bestFit="1" customWidth="1"/>
    <col min="1177" max="1177" width="19.6640625" bestFit="1" customWidth="1"/>
    <col min="1178" max="1178" width="46.33203125" bestFit="1" customWidth="1"/>
    <col min="1179" max="1179" width="13.109375" bestFit="1" customWidth="1"/>
    <col min="1180" max="1180" width="30.88671875" bestFit="1" customWidth="1"/>
    <col min="1181" max="1181" width="75.6640625" bestFit="1" customWidth="1"/>
    <col min="1182" max="1182" width="28.33203125" bestFit="1" customWidth="1"/>
    <col min="1183" max="1183" width="38.88671875" bestFit="1" customWidth="1"/>
    <col min="1184" max="1184" width="28.6640625" bestFit="1" customWidth="1"/>
    <col min="1185" max="1185" width="17.33203125" bestFit="1" customWidth="1"/>
    <col min="1186" max="1186" width="12.33203125" bestFit="1" customWidth="1"/>
    <col min="1187" max="1187" width="20.6640625" bestFit="1" customWidth="1"/>
    <col min="1188" max="1188" width="11.6640625" bestFit="1" customWidth="1"/>
    <col min="1189" max="1189" width="24.33203125" bestFit="1" customWidth="1"/>
    <col min="1190" max="1190" width="21.88671875" bestFit="1" customWidth="1"/>
    <col min="1191" max="1191" width="17.33203125" bestFit="1" customWidth="1"/>
    <col min="1192" max="1192" width="34.6640625" bestFit="1" customWidth="1"/>
    <col min="1193" max="1193" width="29.6640625" bestFit="1" customWidth="1"/>
    <col min="1194" max="1194" width="12.6640625" bestFit="1" customWidth="1"/>
    <col min="1195" max="1195" width="23.88671875" bestFit="1" customWidth="1"/>
    <col min="1196" max="1196" width="22.88671875" bestFit="1" customWidth="1"/>
    <col min="1197" max="1197" width="12.33203125" bestFit="1" customWidth="1"/>
    <col min="1198" max="1198" width="10" bestFit="1" customWidth="1"/>
    <col min="1199" max="1199" width="17.33203125" bestFit="1" customWidth="1"/>
    <col min="1200" max="1200" width="32.33203125" bestFit="1" customWidth="1"/>
    <col min="1201" max="1201" width="28.6640625" bestFit="1" customWidth="1"/>
    <col min="1202" max="1202" width="28.33203125" bestFit="1" customWidth="1"/>
    <col min="1203" max="1203" width="16" bestFit="1" customWidth="1"/>
    <col min="1204" max="1204" width="29.6640625" bestFit="1" customWidth="1"/>
    <col min="1205" max="1205" width="32.33203125" bestFit="1" customWidth="1"/>
    <col min="1206" max="1206" width="21.6640625" bestFit="1" customWidth="1"/>
    <col min="1207" max="1207" width="23.33203125" bestFit="1" customWidth="1"/>
    <col min="1208" max="1208" width="15.109375" bestFit="1" customWidth="1"/>
    <col min="1209" max="1209" width="31.6640625" bestFit="1" customWidth="1"/>
    <col min="1210" max="1210" width="32.33203125" bestFit="1" customWidth="1"/>
    <col min="1211" max="1212" width="13.33203125" bestFit="1" customWidth="1"/>
    <col min="1213" max="1213" width="28.6640625" bestFit="1" customWidth="1"/>
    <col min="1214" max="1214" width="26.6640625" bestFit="1" customWidth="1"/>
    <col min="1215" max="1215" width="22" bestFit="1" customWidth="1"/>
    <col min="1216" max="1216" width="15.109375" bestFit="1" customWidth="1"/>
    <col min="1217" max="1217" width="23.33203125" bestFit="1" customWidth="1"/>
    <col min="1218" max="1218" width="29" bestFit="1" customWidth="1"/>
    <col min="1219" max="1219" width="25" bestFit="1" customWidth="1"/>
    <col min="1220" max="1221" width="22.6640625" bestFit="1" customWidth="1"/>
    <col min="1222" max="1222" width="52.88671875" bestFit="1" customWidth="1"/>
    <col min="1223" max="1223" width="52.33203125" bestFit="1" customWidth="1"/>
    <col min="1224" max="1224" width="9.33203125" bestFit="1" customWidth="1"/>
    <col min="1225" max="1225" width="12.33203125" bestFit="1" customWidth="1"/>
    <col min="1226" max="1226" width="10.109375" bestFit="1" customWidth="1"/>
    <col min="1227" max="1227" width="20.6640625" bestFit="1" customWidth="1"/>
    <col min="1228" max="1228" width="16.6640625" bestFit="1" customWidth="1"/>
    <col min="1229" max="1229" width="33.33203125" bestFit="1" customWidth="1"/>
    <col min="1230" max="1230" width="12.33203125" bestFit="1" customWidth="1"/>
    <col min="1231" max="1231" width="20.33203125" bestFit="1" customWidth="1"/>
    <col min="1232" max="1232" width="16.6640625" bestFit="1" customWidth="1"/>
    <col min="1233" max="1233" width="14.33203125" bestFit="1" customWidth="1"/>
    <col min="1234" max="1234" width="51.33203125" bestFit="1" customWidth="1"/>
    <col min="1235" max="1235" width="36.109375" bestFit="1" customWidth="1"/>
    <col min="1236" max="1236" width="106.88671875" bestFit="1" customWidth="1"/>
    <col min="1237" max="1237" width="17.6640625" bestFit="1" customWidth="1"/>
    <col min="1238" max="1238" width="55" bestFit="1" customWidth="1"/>
    <col min="1239" max="1239" width="11.33203125" bestFit="1" customWidth="1"/>
    <col min="1240" max="1240" width="8.6640625" bestFit="1" customWidth="1"/>
    <col min="1241" max="1241" width="24.6640625" bestFit="1" customWidth="1"/>
    <col min="1242" max="1242" width="8.33203125" bestFit="1" customWidth="1"/>
    <col min="1243" max="1243" width="17.6640625" bestFit="1" customWidth="1"/>
    <col min="1244" max="1244" width="45.109375" bestFit="1" customWidth="1"/>
    <col min="1245" max="1245" width="31.33203125" bestFit="1" customWidth="1"/>
    <col min="1246" max="1246" width="15.6640625" bestFit="1" customWidth="1"/>
    <col min="1247" max="1247" width="53" bestFit="1" customWidth="1"/>
    <col min="1248" max="1248" width="25.6640625" bestFit="1" customWidth="1"/>
    <col min="1249" max="1249" width="29.33203125" bestFit="1" customWidth="1"/>
  </cols>
  <sheetData>
    <row r="3" spans="1:14">
      <c r="A3" s="1" t="s">
        <v>1277</v>
      </c>
      <c r="B3" t="s">
        <v>1293</v>
      </c>
    </row>
    <row r="4" spans="1:14">
      <c r="A4" s="2" t="s">
        <v>183</v>
      </c>
      <c r="B4">
        <v>64171555</v>
      </c>
    </row>
    <row r="5" spans="1:14">
      <c r="A5" s="2" t="s">
        <v>167</v>
      </c>
      <c r="B5">
        <v>17804003</v>
      </c>
    </row>
    <row r="6" spans="1:14">
      <c r="A6" s="2" t="s">
        <v>1046</v>
      </c>
      <c r="B6">
        <v>16040784</v>
      </c>
    </row>
    <row r="7" spans="1:14">
      <c r="A7" s="2" t="s">
        <v>237</v>
      </c>
      <c r="B7">
        <v>13494870</v>
      </c>
    </row>
    <row r="8" spans="1:14">
      <c r="A8" s="2" t="s">
        <v>1280</v>
      </c>
      <c r="B8">
        <v>7711300</v>
      </c>
    </row>
    <row r="9" spans="1:14">
      <c r="A9" s="2" t="s">
        <v>57</v>
      </c>
      <c r="B9">
        <v>3460699</v>
      </c>
    </row>
    <row r="10" spans="1:14">
      <c r="A10" s="2" t="s">
        <v>1288</v>
      </c>
      <c r="B10">
        <v>1745507</v>
      </c>
    </row>
    <row r="11" spans="1:14">
      <c r="A11" s="2" t="s">
        <v>231</v>
      </c>
      <c r="B11">
        <v>1717014</v>
      </c>
    </row>
    <row r="12" spans="1:14">
      <c r="A12" s="2" t="s">
        <v>1043</v>
      </c>
      <c r="B12">
        <v>1632678</v>
      </c>
    </row>
    <row r="13" spans="1:14">
      <c r="A13" s="2" t="s">
        <v>1281</v>
      </c>
      <c r="B13">
        <v>1339814</v>
      </c>
    </row>
    <row r="14" spans="1:14">
      <c r="A14" s="2" t="s">
        <v>1278</v>
      </c>
      <c r="B14">
        <v>129118224</v>
      </c>
    </row>
    <row r="16" spans="1:14">
      <c r="N16" t="s">
        <v>1294</v>
      </c>
    </row>
    <row r="21" spans="1:2">
      <c r="A21" s="1" t="s">
        <v>1277</v>
      </c>
      <c r="B21" t="s">
        <v>1292</v>
      </c>
    </row>
    <row r="22" spans="1:2">
      <c r="A22" s="2" t="s">
        <v>183</v>
      </c>
      <c r="B22">
        <v>268</v>
      </c>
    </row>
    <row r="23" spans="1:2">
      <c r="A23" s="2" t="s">
        <v>1046</v>
      </c>
      <c r="B23">
        <v>53</v>
      </c>
    </row>
    <row r="24" spans="1:2">
      <c r="A24" s="2" t="s">
        <v>1282</v>
      </c>
      <c r="B24">
        <v>8</v>
      </c>
    </row>
    <row r="25" spans="1:2">
      <c r="A25" s="2" t="s">
        <v>167</v>
      </c>
      <c r="B25">
        <v>119</v>
      </c>
    </row>
    <row r="26" spans="1:2">
      <c r="A26" s="2" t="s">
        <v>237</v>
      </c>
      <c r="B26">
        <v>51</v>
      </c>
    </row>
    <row r="27" spans="1:2">
      <c r="A27" s="2" t="s">
        <v>57</v>
      </c>
      <c r="B27">
        <v>39</v>
      </c>
    </row>
    <row r="28" spans="1:2">
      <c r="A28" s="2" t="s">
        <v>1281</v>
      </c>
      <c r="B28">
        <v>8</v>
      </c>
    </row>
    <row r="29" spans="1:2">
      <c r="A29" s="2" t="s">
        <v>1280</v>
      </c>
      <c r="B29">
        <v>22</v>
      </c>
    </row>
    <row r="30" spans="1:2">
      <c r="A30" s="2" t="s">
        <v>485</v>
      </c>
      <c r="B30">
        <v>11</v>
      </c>
    </row>
    <row r="31" spans="1:2">
      <c r="A31" s="2" t="s">
        <v>231</v>
      </c>
      <c r="B31">
        <v>22</v>
      </c>
    </row>
    <row r="32" spans="1:2">
      <c r="A32" s="2" t="s">
        <v>1043</v>
      </c>
      <c r="B32">
        <v>5</v>
      </c>
    </row>
    <row r="33" spans="1:2">
      <c r="A33" s="2" t="s">
        <v>1278</v>
      </c>
      <c r="B33">
        <v>606</v>
      </c>
    </row>
    <row r="47" spans="1:2">
      <c r="A47" s="1" t="s">
        <v>1277</v>
      </c>
      <c r="B47" t="s">
        <v>1279</v>
      </c>
    </row>
    <row r="48" spans="1:2">
      <c r="A48" s="2" t="s">
        <v>1134</v>
      </c>
      <c r="B48">
        <v>8.7899999999999991</v>
      </c>
    </row>
    <row r="49" spans="1:2">
      <c r="A49" s="2" t="s">
        <v>834</v>
      </c>
      <c r="B49">
        <v>8.82</v>
      </c>
    </row>
    <row r="50" spans="1:2">
      <c r="A50" s="2" t="s">
        <v>659</v>
      </c>
      <c r="B50">
        <v>8.85</v>
      </c>
    </row>
    <row r="51" spans="1:2">
      <c r="A51" s="2" t="s">
        <v>283</v>
      </c>
      <c r="B51">
        <v>8.91</v>
      </c>
    </row>
    <row r="52" spans="1:2">
      <c r="A52" s="2" t="s">
        <v>1229</v>
      </c>
      <c r="B52">
        <v>8.94</v>
      </c>
    </row>
    <row r="53" spans="1:2">
      <c r="A53" s="2" t="s">
        <v>7</v>
      </c>
      <c r="B53">
        <v>8.9600000000000009</v>
      </c>
    </row>
    <row r="54" spans="1:2">
      <c r="A54" s="2" t="s">
        <v>1125</v>
      </c>
      <c r="B54">
        <v>8.98</v>
      </c>
    </row>
    <row r="55" spans="1:2">
      <c r="A55" s="2" t="s">
        <v>494</v>
      </c>
      <c r="B55">
        <v>9.09</v>
      </c>
    </row>
    <row r="56" spans="1:2">
      <c r="A56" s="2" t="s">
        <v>184</v>
      </c>
      <c r="B56">
        <v>9.18</v>
      </c>
    </row>
    <row r="57" spans="1:2">
      <c r="A57" s="2" t="s">
        <v>657</v>
      </c>
      <c r="B57">
        <v>9.27</v>
      </c>
    </row>
    <row r="58" spans="1:2">
      <c r="A58" s="2" t="s">
        <v>1278</v>
      </c>
      <c r="B58">
        <v>8.9789999999999992</v>
      </c>
    </row>
    <row r="64" spans="1:2">
      <c r="A64" t="s">
        <v>1279</v>
      </c>
    </row>
    <row r="65" spans="1:3">
      <c r="A65" s="3">
        <v>7.1296308186195789</v>
      </c>
      <c r="B65" s="3">
        <f>GETPIVOTDATA("Rating/Score",$A$64)</f>
        <v>7.1296308186195789</v>
      </c>
    </row>
    <row r="68" spans="1:3">
      <c r="A68" t="s">
        <v>1295</v>
      </c>
    </row>
    <row r="69" spans="1:3">
      <c r="A69">
        <v>623</v>
      </c>
      <c r="B69">
        <f>GETPIVOTDATA("Anime Title",$A$68)</f>
        <v>623</v>
      </c>
    </row>
    <row r="72" spans="1:3">
      <c r="A72" s="1" t="s">
        <v>1277</v>
      </c>
      <c r="B72" t="s">
        <v>1295</v>
      </c>
    </row>
    <row r="73" spans="1:3">
      <c r="A73" s="2" t="s">
        <v>183</v>
      </c>
      <c r="B73">
        <v>268</v>
      </c>
      <c r="C73">
        <f>GETPIVOTDATA("Anime Title",$A$72,"Genres","Action")</f>
        <v>268</v>
      </c>
    </row>
    <row r="74" spans="1:3">
      <c r="A74" s="2" t="s">
        <v>1278</v>
      </c>
      <c r="B74">
        <v>268</v>
      </c>
    </row>
    <row r="77" spans="1:3">
      <c r="A77" s="1" t="s">
        <v>1277</v>
      </c>
      <c r="B77" t="s">
        <v>1279</v>
      </c>
    </row>
    <row r="78" spans="1:3">
      <c r="A78" s="2" t="s">
        <v>657</v>
      </c>
      <c r="B78">
        <v>9.27</v>
      </c>
    </row>
    <row r="79" spans="1:3">
      <c r="A79" s="2" t="s">
        <v>1278</v>
      </c>
      <c r="B79">
        <v>9.27</v>
      </c>
    </row>
    <row r="81" spans="1:5">
      <c r="E81" t="s">
        <v>1296</v>
      </c>
    </row>
    <row r="86" spans="1:5">
      <c r="A86" t="s">
        <v>1297</v>
      </c>
    </row>
    <row r="87" spans="1:5">
      <c r="A87" s="1" t="s">
        <v>1277</v>
      </c>
      <c r="B87" t="s">
        <v>1295</v>
      </c>
      <c r="C87" s="3" t="s">
        <v>1279</v>
      </c>
      <c r="D87" t="s">
        <v>1293</v>
      </c>
    </row>
    <row r="88" spans="1:5">
      <c r="A88" s="2" t="s">
        <v>10</v>
      </c>
      <c r="B88">
        <v>277</v>
      </c>
      <c r="C88" s="3">
        <v>7.1401805054151568</v>
      </c>
      <c r="D88">
        <v>60050996</v>
      </c>
    </row>
    <row r="89" spans="1:5">
      <c r="A89" s="2" t="s">
        <v>420</v>
      </c>
      <c r="B89">
        <v>138</v>
      </c>
      <c r="C89" s="3">
        <v>7.1755072463768137</v>
      </c>
      <c r="D89">
        <v>27444535</v>
      </c>
    </row>
    <row r="90" spans="1:5">
      <c r="A90" s="2" t="s">
        <v>257</v>
      </c>
      <c r="B90">
        <v>126</v>
      </c>
      <c r="C90" s="3">
        <v>7.0796825396825396</v>
      </c>
      <c r="D90">
        <v>27086938</v>
      </c>
    </row>
    <row r="91" spans="1:5">
      <c r="A91" s="2" t="s">
        <v>561</v>
      </c>
      <c r="B91">
        <v>82</v>
      </c>
      <c r="C91" s="3">
        <v>7.093536585365853</v>
      </c>
      <c r="D91">
        <v>16301464</v>
      </c>
    </row>
    <row r="92" spans="1:5">
      <c r="A92" s="2" t="s">
        <v>1278</v>
      </c>
      <c r="B92">
        <v>623</v>
      </c>
      <c r="C92" s="3">
        <v>7.1296308186195745</v>
      </c>
      <c r="D92">
        <v>130883933</v>
      </c>
    </row>
    <row r="107" spans="1:8">
      <c r="A107" s="1" t="s">
        <v>1277</v>
      </c>
      <c r="B107" t="s">
        <v>1293</v>
      </c>
    </row>
    <row r="108" spans="1:8">
      <c r="A108" s="6">
        <v>4.67</v>
      </c>
      <c r="B108">
        <v>7100</v>
      </c>
      <c r="H108" t="s">
        <v>1294</v>
      </c>
    </row>
    <row r="109" spans="1:8">
      <c r="A109" s="6">
        <v>4.75</v>
      </c>
      <c r="B109">
        <v>432000</v>
      </c>
    </row>
    <row r="110" spans="1:8">
      <c r="A110" s="6">
        <v>5.16</v>
      </c>
      <c r="B110">
        <v>158000</v>
      </c>
    </row>
    <row r="111" spans="1:8">
      <c r="A111" s="6">
        <v>5.24</v>
      </c>
      <c r="B111">
        <v>997000</v>
      </c>
    </row>
    <row r="112" spans="1:8">
      <c r="A112" s="6">
        <v>5.29</v>
      </c>
      <c r="B112">
        <v>845</v>
      </c>
    </row>
    <row r="113" spans="1:2">
      <c r="A113" s="6">
        <v>5.31</v>
      </c>
      <c r="B113">
        <v>959</v>
      </c>
    </row>
    <row r="114" spans="1:2">
      <c r="A114" s="6">
        <v>5.4</v>
      </c>
      <c r="B114">
        <v>6211</v>
      </c>
    </row>
    <row r="115" spans="1:2">
      <c r="A115" s="6">
        <v>5.41</v>
      </c>
      <c r="B115">
        <v>1712</v>
      </c>
    </row>
    <row r="116" spans="1:2">
      <c r="A116" s="6">
        <v>5.44</v>
      </c>
      <c r="B116">
        <v>927</v>
      </c>
    </row>
    <row r="117" spans="1:2">
      <c r="A117" s="6">
        <v>5.48</v>
      </c>
      <c r="B117">
        <v>715</v>
      </c>
    </row>
    <row r="118" spans="1:2">
      <c r="A118" s="6">
        <v>5.49</v>
      </c>
      <c r="B118">
        <v>399</v>
      </c>
    </row>
    <row r="119" spans="1:2">
      <c r="A119" s="6">
        <v>5.52</v>
      </c>
      <c r="B119">
        <v>596</v>
      </c>
    </row>
    <row r="120" spans="1:2">
      <c r="A120" s="6">
        <v>5.53</v>
      </c>
      <c r="B120">
        <v>606</v>
      </c>
    </row>
    <row r="121" spans="1:2">
      <c r="A121" s="6">
        <v>5.58</v>
      </c>
      <c r="B121">
        <v>1267</v>
      </c>
    </row>
    <row r="122" spans="1:2">
      <c r="A122" s="6">
        <v>5.59</v>
      </c>
      <c r="B122">
        <v>4870</v>
      </c>
    </row>
    <row r="123" spans="1:2">
      <c r="A123" s="6">
        <v>5.6</v>
      </c>
      <c r="B123">
        <v>511</v>
      </c>
    </row>
    <row r="124" spans="1:2">
      <c r="A124" s="6">
        <v>5.63</v>
      </c>
      <c r="B124">
        <v>2100</v>
      </c>
    </row>
    <row r="125" spans="1:2">
      <c r="A125" s="6">
        <v>5.65</v>
      </c>
      <c r="B125">
        <v>807</v>
      </c>
    </row>
    <row r="126" spans="1:2">
      <c r="A126" s="6">
        <v>5.67</v>
      </c>
      <c r="B126">
        <v>254100</v>
      </c>
    </row>
    <row r="127" spans="1:2">
      <c r="A127" s="6">
        <v>5.68</v>
      </c>
      <c r="B127">
        <v>6300</v>
      </c>
    </row>
    <row r="128" spans="1:2">
      <c r="A128" s="6">
        <v>5.69</v>
      </c>
      <c r="B128">
        <v>522</v>
      </c>
    </row>
    <row r="129" spans="1:2">
      <c r="A129" s="6">
        <v>5.7</v>
      </c>
      <c r="B129">
        <v>4571</v>
      </c>
    </row>
    <row r="130" spans="1:2">
      <c r="A130" s="6">
        <v>5.71</v>
      </c>
      <c r="B130">
        <v>902</v>
      </c>
    </row>
    <row r="131" spans="1:2">
      <c r="A131" s="6">
        <v>5.73</v>
      </c>
      <c r="B131">
        <v>637</v>
      </c>
    </row>
    <row r="132" spans="1:2">
      <c r="A132" s="6">
        <v>5.74</v>
      </c>
      <c r="B132">
        <v>861</v>
      </c>
    </row>
    <row r="133" spans="1:2">
      <c r="A133" s="6">
        <v>5.75</v>
      </c>
      <c r="B133">
        <v>736</v>
      </c>
    </row>
    <row r="134" spans="1:2">
      <c r="A134" s="6">
        <v>5.76</v>
      </c>
      <c r="B134">
        <v>3992</v>
      </c>
    </row>
    <row r="135" spans="1:2">
      <c r="A135" s="6">
        <v>5.77</v>
      </c>
      <c r="B135">
        <v>101472</v>
      </c>
    </row>
    <row r="136" spans="1:2">
      <c r="A136" s="6">
        <v>5.78</v>
      </c>
      <c r="B136">
        <v>715</v>
      </c>
    </row>
    <row r="137" spans="1:2">
      <c r="A137" s="6">
        <v>5.79</v>
      </c>
      <c r="B137">
        <v>9700</v>
      </c>
    </row>
    <row r="138" spans="1:2">
      <c r="A138" s="6">
        <v>5.8</v>
      </c>
      <c r="B138">
        <v>565</v>
      </c>
    </row>
    <row r="139" spans="1:2">
      <c r="A139" s="6">
        <v>5.81</v>
      </c>
      <c r="B139">
        <v>1114</v>
      </c>
    </row>
    <row r="140" spans="1:2">
      <c r="A140" s="6">
        <v>5.84</v>
      </c>
      <c r="B140">
        <v>2877</v>
      </c>
    </row>
    <row r="141" spans="1:2">
      <c r="A141" s="6">
        <v>5.85</v>
      </c>
      <c r="B141">
        <v>6184</v>
      </c>
    </row>
    <row r="142" spans="1:2">
      <c r="A142" s="6">
        <v>5.86</v>
      </c>
      <c r="B142">
        <v>1282</v>
      </c>
    </row>
    <row r="143" spans="1:2">
      <c r="A143" s="6">
        <v>5.87</v>
      </c>
      <c r="B143">
        <v>788</v>
      </c>
    </row>
    <row r="144" spans="1:2">
      <c r="A144" s="6">
        <v>5.88</v>
      </c>
      <c r="B144">
        <v>388</v>
      </c>
    </row>
    <row r="145" spans="1:2">
      <c r="A145" s="6">
        <v>5.89</v>
      </c>
      <c r="B145">
        <v>628</v>
      </c>
    </row>
    <row r="146" spans="1:2">
      <c r="A146" s="6">
        <v>5.9</v>
      </c>
      <c r="B146">
        <v>1257</v>
      </c>
    </row>
    <row r="147" spans="1:2">
      <c r="A147" s="6">
        <v>5.92</v>
      </c>
      <c r="B147">
        <v>559</v>
      </c>
    </row>
    <row r="148" spans="1:2">
      <c r="A148" s="6">
        <v>5.95</v>
      </c>
      <c r="B148">
        <v>926</v>
      </c>
    </row>
    <row r="149" spans="1:2">
      <c r="A149" s="6">
        <v>5.96</v>
      </c>
      <c r="B149">
        <v>27693</v>
      </c>
    </row>
    <row r="150" spans="1:2">
      <c r="A150" s="6">
        <v>5.97</v>
      </c>
      <c r="B150">
        <v>833</v>
      </c>
    </row>
    <row r="151" spans="1:2">
      <c r="A151" s="6">
        <v>5.98</v>
      </c>
      <c r="B151">
        <v>930820</v>
      </c>
    </row>
    <row r="152" spans="1:2">
      <c r="A152" s="6">
        <v>5.99</v>
      </c>
      <c r="B152">
        <v>299</v>
      </c>
    </row>
    <row r="153" spans="1:2">
      <c r="A153" s="6">
        <v>6.01</v>
      </c>
      <c r="B153">
        <v>785</v>
      </c>
    </row>
    <row r="154" spans="1:2">
      <c r="A154" s="6">
        <v>6.02</v>
      </c>
      <c r="B154">
        <v>418464</v>
      </c>
    </row>
    <row r="155" spans="1:2">
      <c r="A155" s="6">
        <v>6.04</v>
      </c>
      <c r="B155">
        <v>695</v>
      </c>
    </row>
    <row r="156" spans="1:2">
      <c r="A156" s="6">
        <v>6.05</v>
      </c>
      <c r="B156">
        <v>585</v>
      </c>
    </row>
    <row r="157" spans="1:2">
      <c r="A157" s="6">
        <v>6.06</v>
      </c>
      <c r="B157">
        <v>49448</v>
      </c>
    </row>
    <row r="158" spans="1:2">
      <c r="A158" s="6">
        <v>6.07</v>
      </c>
      <c r="B158">
        <v>143451</v>
      </c>
    </row>
    <row r="159" spans="1:2">
      <c r="A159" s="6">
        <v>6.08</v>
      </c>
      <c r="B159">
        <v>428</v>
      </c>
    </row>
    <row r="160" spans="1:2">
      <c r="A160" s="6">
        <v>6.09</v>
      </c>
      <c r="B160">
        <v>85832</v>
      </c>
    </row>
    <row r="161" spans="1:2">
      <c r="A161" s="6">
        <v>6.11</v>
      </c>
      <c r="B161">
        <v>1747</v>
      </c>
    </row>
    <row r="162" spans="1:2">
      <c r="A162" s="6">
        <v>6.12</v>
      </c>
      <c r="B162">
        <v>87581</v>
      </c>
    </row>
    <row r="163" spans="1:2">
      <c r="A163" s="6">
        <v>6.13</v>
      </c>
      <c r="B163">
        <v>1690</v>
      </c>
    </row>
    <row r="164" spans="1:2">
      <c r="A164" s="6">
        <v>6.14</v>
      </c>
      <c r="B164">
        <v>670</v>
      </c>
    </row>
    <row r="165" spans="1:2">
      <c r="A165" s="6">
        <v>6.15</v>
      </c>
      <c r="B165">
        <v>1859</v>
      </c>
    </row>
    <row r="166" spans="1:2">
      <c r="A166" s="6">
        <v>6.16</v>
      </c>
      <c r="B166">
        <v>250000</v>
      </c>
    </row>
    <row r="167" spans="1:2">
      <c r="A167" s="6">
        <v>6.17</v>
      </c>
      <c r="B167">
        <v>91000</v>
      </c>
    </row>
    <row r="168" spans="1:2">
      <c r="A168" s="6">
        <v>6.18</v>
      </c>
      <c r="B168">
        <v>350000</v>
      </c>
    </row>
    <row r="169" spans="1:2">
      <c r="A169" s="6">
        <v>6.2</v>
      </c>
      <c r="B169">
        <v>8293</v>
      </c>
    </row>
    <row r="170" spans="1:2">
      <c r="A170" s="6">
        <v>6.21</v>
      </c>
      <c r="B170">
        <v>309000</v>
      </c>
    </row>
    <row r="171" spans="1:2">
      <c r="A171" s="6">
        <v>6.22</v>
      </c>
      <c r="B171">
        <v>304700</v>
      </c>
    </row>
    <row r="172" spans="1:2">
      <c r="A172" s="6">
        <v>6.23</v>
      </c>
      <c r="B172">
        <v>220496</v>
      </c>
    </row>
    <row r="173" spans="1:2">
      <c r="A173" s="6">
        <v>6.24</v>
      </c>
      <c r="B173">
        <v>203825</v>
      </c>
    </row>
    <row r="174" spans="1:2">
      <c r="A174" s="6">
        <v>6.27</v>
      </c>
      <c r="B174">
        <v>577900</v>
      </c>
    </row>
    <row r="175" spans="1:2">
      <c r="A175" s="6">
        <v>6.28</v>
      </c>
      <c r="B175">
        <v>1681</v>
      </c>
    </row>
    <row r="176" spans="1:2">
      <c r="A176" s="6">
        <v>6.29</v>
      </c>
      <c r="B176">
        <v>339461</v>
      </c>
    </row>
    <row r="177" spans="1:2">
      <c r="A177" s="6">
        <v>6.3</v>
      </c>
      <c r="B177">
        <v>1793</v>
      </c>
    </row>
    <row r="178" spans="1:2">
      <c r="A178" s="6">
        <v>6.31</v>
      </c>
      <c r="B178">
        <v>2293</v>
      </c>
    </row>
    <row r="179" spans="1:2">
      <c r="A179" s="6">
        <v>6.32</v>
      </c>
      <c r="B179">
        <v>573620</v>
      </c>
    </row>
    <row r="180" spans="1:2">
      <c r="A180" s="6">
        <v>6.33</v>
      </c>
      <c r="B180">
        <v>518712</v>
      </c>
    </row>
    <row r="181" spans="1:2">
      <c r="A181" s="6">
        <v>6.34</v>
      </c>
      <c r="B181">
        <v>100126</v>
      </c>
    </row>
    <row r="182" spans="1:2">
      <c r="A182" s="6">
        <v>6.35</v>
      </c>
      <c r="B182">
        <v>1555</v>
      </c>
    </row>
    <row r="183" spans="1:2">
      <c r="A183" s="6">
        <v>6.36</v>
      </c>
      <c r="B183">
        <v>191625</v>
      </c>
    </row>
    <row r="184" spans="1:2">
      <c r="A184" s="6">
        <v>6.37</v>
      </c>
      <c r="B184">
        <v>837</v>
      </c>
    </row>
    <row r="185" spans="1:2">
      <c r="A185" s="6">
        <v>6.38</v>
      </c>
      <c r="B185">
        <v>14300</v>
      </c>
    </row>
    <row r="186" spans="1:2">
      <c r="A186" s="6">
        <v>6.39</v>
      </c>
      <c r="B186">
        <v>183600</v>
      </c>
    </row>
    <row r="187" spans="1:2">
      <c r="A187" s="6">
        <v>6.42</v>
      </c>
      <c r="B187">
        <v>9251</v>
      </c>
    </row>
    <row r="188" spans="1:2">
      <c r="A188" s="6">
        <v>6.43</v>
      </c>
      <c r="B188">
        <v>434613</v>
      </c>
    </row>
    <row r="189" spans="1:2">
      <c r="A189" s="6">
        <v>6.45</v>
      </c>
      <c r="B189">
        <v>1983</v>
      </c>
    </row>
    <row r="190" spans="1:2">
      <c r="A190" s="6">
        <v>6.46</v>
      </c>
      <c r="B190">
        <v>624</v>
      </c>
    </row>
    <row r="191" spans="1:2">
      <c r="A191" s="6">
        <v>6.47</v>
      </c>
      <c r="B191">
        <v>235300</v>
      </c>
    </row>
    <row r="192" spans="1:2">
      <c r="A192" s="6">
        <v>6.48</v>
      </c>
      <c r="B192">
        <v>207000</v>
      </c>
    </row>
    <row r="193" spans="1:2">
      <c r="A193" s="6">
        <v>6.5</v>
      </c>
      <c r="B193">
        <v>111400</v>
      </c>
    </row>
    <row r="194" spans="1:2">
      <c r="A194" s="6">
        <v>6.51</v>
      </c>
      <c r="B194">
        <v>422313</v>
      </c>
    </row>
    <row r="195" spans="1:2">
      <c r="A195" s="6">
        <v>6.52</v>
      </c>
      <c r="B195">
        <v>24000</v>
      </c>
    </row>
    <row r="196" spans="1:2">
      <c r="A196" s="6">
        <v>6.53</v>
      </c>
      <c r="B196">
        <v>870300</v>
      </c>
    </row>
    <row r="197" spans="1:2">
      <c r="A197" s="6">
        <v>6.54</v>
      </c>
      <c r="B197">
        <v>186594</v>
      </c>
    </row>
    <row r="198" spans="1:2">
      <c r="A198" s="6">
        <v>6.55</v>
      </c>
      <c r="B198">
        <v>237000</v>
      </c>
    </row>
    <row r="199" spans="1:2">
      <c r="A199" s="6">
        <v>6.56</v>
      </c>
      <c r="B199">
        <v>258577</v>
      </c>
    </row>
    <row r="200" spans="1:2">
      <c r="A200" s="6">
        <v>6.57</v>
      </c>
      <c r="B200">
        <v>793650</v>
      </c>
    </row>
    <row r="201" spans="1:2">
      <c r="A201" s="6">
        <v>6.58</v>
      </c>
      <c r="B201">
        <v>157916</v>
      </c>
    </row>
    <row r="202" spans="1:2">
      <c r="A202" s="6">
        <v>6.59</v>
      </c>
      <c r="B202">
        <v>27753</v>
      </c>
    </row>
    <row r="203" spans="1:2">
      <c r="A203" s="6">
        <v>6.6</v>
      </c>
      <c r="B203">
        <v>2765</v>
      </c>
    </row>
    <row r="204" spans="1:2">
      <c r="A204" s="6">
        <v>6.61</v>
      </c>
      <c r="B204">
        <v>279680</v>
      </c>
    </row>
    <row r="205" spans="1:2">
      <c r="A205" s="6">
        <v>6.62</v>
      </c>
      <c r="B205">
        <v>252000</v>
      </c>
    </row>
    <row r="206" spans="1:2">
      <c r="A206" s="6">
        <v>6.64</v>
      </c>
      <c r="B206">
        <v>147794</v>
      </c>
    </row>
    <row r="207" spans="1:2">
      <c r="A207" s="6">
        <v>6.65</v>
      </c>
      <c r="B207">
        <v>114312</v>
      </c>
    </row>
    <row r="208" spans="1:2">
      <c r="A208" s="6">
        <v>6.66</v>
      </c>
      <c r="B208">
        <v>885493</v>
      </c>
    </row>
    <row r="209" spans="1:2">
      <c r="A209" s="6">
        <v>6.67</v>
      </c>
      <c r="B209">
        <v>1893</v>
      </c>
    </row>
    <row r="210" spans="1:2">
      <c r="A210" s="6">
        <v>6.68</v>
      </c>
      <c r="B210">
        <v>1019000</v>
      </c>
    </row>
    <row r="211" spans="1:2">
      <c r="A211" s="6">
        <v>6.69</v>
      </c>
      <c r="B211">
        <v>136279</v>
      </c>
    </row>
    <row r="212" spans="1:2">
      <c r="A212" s="6">
        <v>6.7</v>
      </c>
      <c r="B212">
        <v>599000</v>
      </c>
    </row>
    <row r="213" spans="1:2">
      <c r="A213" s="6">
        <v>6.71</v>
      </c>
      <c r="B213">
        <v>69578</v>
      </c>
    </row>
    <row r="214" spans="1:2">
      <c r="A214" s="6">
        <v>6.72</v>
      </c>
      <c r="B214">
        <v>256414</v>
      </c>
    </row>
    <row r="215" spans="1:2">
      <c r="A215" s="6">
        <v>6.74</v>
      </c>
      <c r="B215">
        <v>297717</v>
      </c>
    </row>
    <row r="216" spans="1:2">
      <c r="A216" s="6">
        <v>6.75</v>
      </c>
      <c r="B216">
        <v>230734</v>
      </c>
    </row>
    <row r="217" spans="1:2">
      <c r="A217" s="6">
        <v>6.76</v>
      </c>
      <c r="B217">
        <v>175702</v>
      </c>
    </row>
    <row r="218" spans="1:2">
      <c r="A218" s="6">
        <v>6.77</v>
      </c>
      <c r="B218">
        <v>67000</v>
      </c>
    </row>
    <row r="219" spans="1:2">
      <c r="A219" s="6">
        <v>6.79</v>
      </c>
      <c r="B219">
        <v>346620</v>
      </c>
    </row>
    <row r="220" spans="1:2">
      <c r="A220" s="6">
        <v>6.8</v>
      </c>
      <c r="B220">
        <v>39952</v>
      </c>
    </row>
    <row r="221" spans="1:2">
      <c r="A221" s="6">
        <v>6.81</v>
      </c>
      <c r="B221">
        <v>143487</v>
      </c>
    </row>
    <row r="222" spans="1:2">
      <c r="A222" s="6">
        <v>6.82</v>
      </c>
      <c r="B222">
        <v>251800</v>
      </c>
    </row>
    <row r="223" spans="1:2">
      <c r="A223" s="6">
        <v>6.83</v>
      </c>
      <c r="B223">
        <v>565000</v>
      </c>
    </row>
    <row r="224" spans="1:2">
      <c r="A224" s="6">
        <v>6.84</v>
      </c>
      <c r="B224">
        <v>1673</v>
      </c>
    </row>
    <row r="225" spans="1:2">
      <c r="A225" s="6">
        <v>6.85</v>
      </c>
      <c r="B225">
        <v>3846</v>
      </c>
    </row>
    <row r="226" spans="1:2">
      <c r="A226" s="6">
        <v>6.87</v>
      </c>
      <c r="B226">
        <v>681654</v>
      </c>
    </row>
    <row r="227" spans="1:2">
      <c r="A227" s="6">
        <v>6.88</v>
      </c>
      <c r="B227">
        <v>139410</v>
      </c>
    </row>
    <row r="228" spans="1:2">
      <c r="A228" s="6">
        <v>6.89</v>
      </c>
      <c r="B228">
        <v>447000</v>
      </c>
    </row>
    <row r="229" spans="1:2">
      <c r="A229" s="6">
        <v>6.9</v>
      </c>
      <c r="B229">
        <v>179155</v>
      </c>
    </row>
    <row r="230" spans="1:2">
      <c r="A230" s="6">
        <v>6.91</v>
      </c>
      <c r="B230">
        <v>690218</v>
      </c>
    </row>
    <row r="231" spans="1:2">
      <c r="A231" s="6">
        <v>6.92</v>
      </c>
      <c r="B231">
        <v>39644</v>
      </c>
    </row>
    <row r="232" spans="1:2">
      <c r="A232" s="6">
        <v>6.94</v>
      </c>
      <c r="B232">
        <v>220000</v>
      </c>
    </row>
    <row r="233" spans="1:2">
      <c r="A233" s="6">
        <v>6.95</v>
      </c>
      <c r="B233">
        <v>277987</v>
      </c>
    </row>
    <row r="234" spans="1:2">
      <c r="A234" s="6">
        <v>6.96</v>
      </c>
      <c r="B234">
        <v>214651</v>
      </c>
    </row>
    <row r="235" spans="1:2">
      <c r="A235" s="6">
        <v>6.98</v>
      </c>
      <c r="B235">
        <v>462</v>
      </c>
    </row>
    <row r="236" spans="1:2">
      <c r="A236" s="6">
        <v>6.99</v>
      </c>
      <c r="B236">
        <v>1386</v>
      </c>
    </row>
    <row r="237" spans="1:2">
      <c r="A237" s="6">
        <v>7</v>
      </c>
      <c r="B237">
        <v>354000</v>
      </c>
    </row>
    <row r="238" spans="1:2">
      <c r="A238" s="6">
        <v>7.02</v>
      </c>
      <c r="B238">
        <v>200000</v>
      </c>
    </row>
    <row r="239" spans="1:2">
      <c r="A239" s="6">
        <v>7.03</v>
      </c>
      <c r="B239">
        <v>41000</v>
      </c>
    </row>
    <row r="240" spans="1:2">
      <c r="A240" s="6">
        <v>7.05</v>
      </c>
      <c r="B240">
        <v>339000</v>
      </c>
    </row>
    <row r="241" spans="1:2">
      <c r="A241" s="6">
        <v>7.06</v>
      </c>
      <c r="B241">
        <v>643000</v>
      </c>
    </row>
    <row r="242" spans="1:2">
      <c r="A242" s="6">
        <v>7.07</v>
      </c>
      <c r="B242">
        <v>165000</v>
      </c>
    </row>
    <row r="243" spans="1:2">
      <c r="A243" s="6">
        <v>7.08</v>
      </c>
      <c r="B243">
        <v>523630</v>
      </c>
    </row>
    <row r="244" spans="1:2">
      <c r="A244" s="6">
        <v>7.09</v>
      </c>
      <c r="B244">
        <v>770</v>
      </c>
    </row>
    <row r="245" spans="1:2">
      <c r="A245" s="6">
        <v>7.1</v>
      </c>
      <c r="B245">
        <v>577600</v>
      </c>
    </row>
    <row r="246" spans="1:2">
      <c r="A246" s="6">
        <v>7.11</v>
      </c>
      <c r="B246">
        <v>53683</v>
      </c>
    </row>
    <row r="247" spans="1:2">
      <c r="A247" s="6">
        <v>7.12</v>
      </c>
      <c r="B247">
        <v>433620</v>
      </c>
    </row>
    <row r="248" spans="1:2">
      <c r="A248" s="6">
        <v>7.13</v>
      </c>
      <c r="B248">
        <v>849000</v>
      </c>
    </row>
    <row r="249" spans="1:2">
      <c r="A249" s="6">
        <v>7.14</v>
      </c>
      <c r="B249">
        <v>582000</v>
      </c>
    </row>
    <row r="250" spans="1:2">
      <c r="A250" s="6">
        <v>7.15</v>
      </c>
      <c r="B250">
        <v>982</v>
      </c>
    </row>
    <row r="251" spans="1:2">
      <c r="A251" s="6">
        <v>7.16</v>
      </c>
      <c r="B251">
        <v>824796</v>
      </c>
    </row>
    <row r="252" spans="1:2">
      <c r="A252" s="6">
        <v>7.17</v>
      </c>
      <c r="B252">
        <v>183000</v>
      </c>
    </row>
    <row r="253" spans="1:2">
      <c r="A253" s="6">
        <v>7.18</v>
      </c>
      <c r="B253">
        <v>1081000</v>
      </c>
    </row>
    <row r="254" spans="1:2">
      <c r="A254" s="6">
        <v>7.19</v>
      </c>
      <c r="B254">
        <v>63000</v>
      </c>
    </row>
    <row r="255" spans="1:2">
      <c r="A255" s="6">
        <v>7.2</v>
      </c>
      <c r="B255">
        <v>145785</v>
      </c>
    </row>
    <row r="256" spans="1:2">
      <c r="A256" s="6">
        <v>7.21</v>
      </c>
      <c r="B256">
        <v>970696</v>
      </c>
    </row>
    <row r="257" spans="1:2">
      <c r="A257" s="6">
        <v>7.22</v>
      </c>
      <c r="B257">
        <v>281400</v>
      </c>
    </row>
    <row r="258" spans="1:2">
      <c r="A258" s="6">
        <v>7.23</v>
      </c>
      <c r="B258">
        <v>257000</v>
      </c>
    </row>
    <row r="259" spans="1:2">
      <c r="A259" s="6">
        <v>7.24</v>
      </c>
      <c r="B259">
        <v>251874</v>
      </c>
    </row>
    <row r="260" spans="1:2">
      <c r="A260" s="6">
        <v>7.25</v>
      </c>
      <c r="B260">
        <v>432000</v>
      </c>
    </row>
    <row r="261" spans="1:2">
      <c r="A261" s="6">
        <v>7.26</v>
      </c>
      <c r="B261">
        <v>1417000</v>
      </c>
    </row>
    <row r="262" spans="1:2">
      <c r="A262" s="6">
        <v>7.27</v>
      </c>
      <c r="B262">
        <v>583000</v>
      </c>
    </row>
    <row r="263" spans="1:2">
      <c r="A263" s="6">
        <v>7.29</v>
      </c>
      <c r="B263">
        <v>32917</v>
      </c>
    </row>
    <row r="264" spans="1:2">
      <c r="A264" s="6">
        <v>7.31</v>
      </c>
      <c r="B264">
        <v>639500</v>
      </c>
    </row>
    <row r="265" spans="1:2">
      <c r="A265" s="6">
        <v>7.32</v>
      </c>
      <c r="B265">
        <v>260722</v>
      </c>
    </row>
    <row r="266" spans="1:2">
      <c r="A266" s="6">
        <v>7.35</v>
      </c>
      <c r="B266">
        <v>915</v>
      </c>
    </row>
    <row r="267" spans="1:2">
      <c r="A267" s="6">
        <v>7.36</v>
      </c>
      <c r="B267">
        <v>808000</v>
      </c>
    </row>
    <row r="268" spans="1:2">
      <c r="A268" s="6">
        <v>7.37</v>
      </c>
      <c r="B268">
        <v>495000</v>
      </c>
    </row>
    <row r="269" spans="1:2">
      <c r="A269" s="6">
        <v>7.38</v>
      </c>
      <c r="B269">
        <v>1030000</v>
      </c>
    </row>
    <row r="270" spans="1:2">
      <c r="A270" s="6">
        <v>7.39</v>
      </c>
      <c r="B270">
        <v>5800</v>
      </c>
    </row>
    <row r="271" spans="1:2">
      <c r="A271" s="6">
        <v>7.4</v>
      </c>
      <c r="B271">
        <v>165800</v>
      </c>
    </row>
    <row r="272" spans="1:2">
      <c r="A272" s="6">
        <v>7.41</v>
      </c>
      <c r="B272">
        <v>428000</v>
      </c>
    </row>
    <row r="273" spans="1:2">
      <c r="A273" s="6">
        <v>7.42</v>
      </c>
      <c r="B273">
        <v>151945</v>
      </c>
    </row>
    <row r="274" spans="1:2">
      <c r="A274" s="6">
        <v>7.43</v>
      </c>
      <c r="B274">
        <v>81000</v>
      </c>
    </row>
    <row r="275" spans="1:2">
      <c r="A275" s="6">
        <v>7.44</v>
      </c>
      <c r="B275">
        <v>1078888</v>
      </c>
    </row>
    <row r="276" spans="1:2">
      <c r="A276" s="6">
        <v>7.45</v>
      </c>
      <c r="B276">
        <v>226000</v>
      </c>
    </row>
    <row r="277" spans="1:2">
      <c r="A277" s="6">
        <v>7.46</v>
      </c>
      <c r="B277">
        <v>530800</v>
      </c>
    </row>
    <row r="278" spans="1:2">
      <c r="A278" s="6">
        <v>7.47</v>
      </c>
      <c r="B278">
        <v>253000</v>
      </c>
    </row>
    <row r="279" spans="1:2">
      <c r="A279" s="6">
        <v>7.48</v>
      </c>
      <c r="B279">
        <v>203000</v>
      </c>
    </row>
    <row r="280" spans="1:2">
      <c r="A280" s="6">
        <v>7.49</v>
      </c>
      <c r="B280">
        <v>225000</v>
      </c>
    </row>
    <row r="281" spans="1:2">
      <c r="A281" s="6">
        <v>7.5</v>
      </c>
      <c r="B281">
        <v>135000</v>
      </c>
    </row>
    <row r="282" spans="1:2">
      <c r="A282" s="6">
        <v>7.51</v>
      </c>
      <c r="B282">
        <v>28753</v>
      </c>
    </row>
    <row r="283" spans="1:2">
      <c r="A283" s="6">
        <v>7.52</v>
      </c>
      <c r="B283">
        <v>412500</v>
      </c>
    </row>
    <row r="284" spans="1:2">
      <c r="A284" s="6">
        <v>7.53</v>
      </c>
      <c r="B284">
        <v>755600</v>
      </c>
    </row>
    <row r="285" spans="1:2">
      <c r="A285" s="6">
        <v>7.54</v>
      </c>
      <c r="B285">
        <v>1932000</v>
      </c>
    </row>
    <row r="286" spans="1:2">
      <c r="A286" s="6">
        <v>7.55</v>
      </c>
      <c r="B286">
        <v>284600</v>
      </c>
    </row>
    <row r="287" spans="1:2">
      <c r="A287" s="6">
        <v>7.56</v>
      </c>
      <c r="B287">
        <v>336000</v>
      </c>
    </row>
    <row r="288" spans="1:2">
      <c r="A288" s="6">
        <v>7.57</v>
      </c>
      <c r="B288">
        <v>446000</v>
      </c>
    </row>
    <row r="289" spans="1:2">
      <c r="A289" s="6">
        <v>7.58</v>
      </c>
      <c r="B289">
        <v>282000</v>
      </c>
    </row>
    <row r="290" spans="1:2">
      <c r="A290" s="6">
        <v>7.59</v>
      </c>
      <c r="B290">
        <v>495000</v>
      </c>
    </row>
    <row r="291" spans="1:2">
      <c r="A291" s="6">
        <v>7.6</v>
      </c>
      <c r="B291">
        <v>269000</v>
      </c>
    </row>
    <row r="292" spans="1:2">
      <c r="A292" s="6">
        <v>7.61</v>
      </c>
      <c r="B292">
        <v>1135500</v>
      </c>
    </row>
    <row r="293" spans="1:2">
      <c r="A293" s="6">
        <v>7.62</v>
      </c>
      <c r="B293">
        <v>473000</v>
      </c>
    </row>
    <row r="294" spans="1:2">
      <c r="A294" s="6">
        <v>7.63</v>
      </c>
      <c r="B294">
        <v>466953</v>
      </c>
    </row>
    <row r="295" spans="1:2">
      <c r="A295" s="6">
        <v>7.64</v>
      </c>
      <c r="B295">
        <v>334000</v>
      </c>
    </row>
    <row r="296" spans="1:2">
      <c r="A296" s="6">
        <v>7.65</v>
      </c>
      <c r="B296">
        <v>214000</v>
      </c>
    </row>
    <row r="297" spans="1:2">
      <c r="A297" s="6">
        <v>7.68</v>
      </c>
      <c r="B297">
        <v>838000</v>
      </c>
    </row>
    <row r="298" spans="1:2">
      <c r="A298" s="6">
        <v>7.7</v>
      </c>
      <c r="B298">
        <v>1634000</v>
      </c>
    </row>
    <row r="299" spans="1:2">
      <c r="A299" s="6">
        <v>7.71</v>
      </c>
      <c r="B299">
        <v>1270000</v>
      </c>
    </row>
    <row r="300" spans="1:2">
      <c r="A300" s="6">
        <v>7.73</v>
      </c>
      <c r="B300">
        <v>289000</v>
      </c>
    </row>
    <row r="301" spans="1:2">
      <c r="A301" s="6">
        <v>7.74</v>
      </c>
      <c r="B301">
        <v>607000</v>
      </c>
    </row>
    <row r="302" spans="1:2">
      <c r="A302" s="6">
        <v>7.75</v>
      </c>
      <c r="B302">
        <v>2006700</v>
      </c>
    </row>
    <row r="303" spans="1:2">
      <c r="A303" s="6">
        <v>7.77</v>
      </c>
      <c r="B303">
        <v>295000</v>
      </c>
    </row>
    <row r="304" spans="1:2">
      <c r="A304" s="6">
        <v>7.78</v>
      </c>
      <c r="B304">
        <v>504000</v>
      </c>
    </row>
    <row r="305" spans="1:2">
      <c r="A305" s="6">
        <v>7.79</v>
      </c>
      <c r="B305">
        <v>883000</v>
      </c>
    </row>
    <row r="306" spans="1:2">
      <c r="A306" s="6">
        <v>7.81</v>
      </c>
      <c r="B306">
        <v>805000</v>
      </c>
    </row>
    <row r="307" spans="1:2">
      <c r="A307" s="6">
        <v>7.82</v>
      </c>
      <c r="B307">
        <v>517000</v>
      </c>
    </row>
    <row r="308" spans="1:2">
      <c r="A308" s="6">
        <v>7.83</v>
      </c>
      <c r="B308">
        <v>940</v>
      </c>
    </row>
    <row r="309" spans="1:2">
      <c r="A309" s="6">
        <v>7.84</v>
      </c>
      <c r="B309">
        <v>528000</v>
      </c>
    </row>
    <row r="310" spans="1:2">
      <c r="A310" s="6">
        <v>7.85</v>
      </c>
      <c r="B310">
        <v>113000</v>
      </c>
    </row>
    <row r="311" spans="1:2">
      <c r="A311" s="6">
        <v>7.86</v>
      </c>
      <c r="B311">
        <v>434000</v>
      </c>
    </row>
    <row r="312" spans="1:2">
      <c r="A312" s="6">
        <v>7.87</v>
      </c>
      <c r="B312">
        <v>49000</v>
      </c>
    </row>
    <row r="313" spans="1:2">
      <c r="A313" s="6">
        <v>7.89</v>
      </c>
      <c r="B313">
        <v>389986</v>
      </c>
    </row>
    <row r="314" spans="1:2">
      <c r="A314" s="6">
        <v>7.91</v>
      </c>
      <c r="B314">
        <v>246000</v>
      </c>
    </row>
    <row r="315" spans="1:2">
      <c r="A315" s="6">
        <v>7.93</v>
      </c>
      <c r="B315">
        <v>523000</v>
      </c>
    </row>
    <row r="316" spans="1:2">
      <c r="A316" s="6">
        <v>7.94</v>
      </c>
      <c r="B316">
        <v>766200</v>
      </c>
    </row>
    <row r="317" spans="1:2">
      <c r="A317" s="6">
        <v>7.97</v>
      </c>
      <c r="B317">
        <v>813900</v>
      </c>
    </row>
    <row r="318" spans="1:2">
      <c r="A318" s="6">
        <v>7.98</v>
      </c>
      <c r="B318">
        <v>435000</v>
      </c>
    </row>
    <row r="319" spans="1:2">
      <c r="A319" s="6">
        <v>7.99</v>
      </c>
      <c r="B319">
        <v>56000</v>
      </c>
    </row>
    <row r="320" spans="1:2">
      <c r="A320" s="6">
        <v>8</v>
      </c>
      <c r="B320">
        <v>1438000</v>
      </c>
    </row>
    <row r="321" spans="1:2">
      <c r="A321" s="6">
        <v>8.02</v>
      </c>
      <c r="B321">
        <v>1560000</v>
      </c>
    </row>
    <row r="322" spans="1:2">
      <c r="A322" s="6">
        <v>8.0299999999999994</v>
      </c>
      <c r="B322">
        <v>75000</v>
      </c>
    </row>
    <row r="323" spans="1:2">
      <c r="A323" s="6">
        <v>8.0399999999999991</v>
      </c>
      <c r="B323">
        <v>351000</v>
      </c>
    </row>
    <row r="324" spans="1:2">
      <c r="A324" s="6">
        <v>8.0500000000000007</v>
      </c>
      <c r="B324">
        <v>791000</v>
      </c>
    </row>
    <row r="325" spans="1:2">
      <c r="A325" s="6">
        <v>8.06</v>
      </c>
      <c r="B325">
        <v>1974900</v>
      </c>
    </row>
    <row r="326" spans="1:2">
      <c r="A326" s="6">
        <v>8.07</v>
      </c>
      <c r="B326">
        <v>31000</v>
      </c>
    </row>
    <row r="327" spans="1:2">
      <c r="A327" s="6">
        <v>8.08</v>
      </c>
      <c r="B327">
        <v>601000</v>
      </c>
    </row>
    <row r="328" spans="1:2">
      <c r="A328" s="6">
        <v>8.09</v>
      </c>
      <c r="B328">
        <v>1268000</v>
      </c>
    </row>
    <row r="329" spans="1:2">
      <c r="A329" s="6">
        <v>8.1</v>
      </c>
      <c r="B329">
        <v>1055000</v>
      </c>
    </row>
    <row r="330" spans="1:2">
      <c r="A330" s="6">
        <v>8.11</v>
      </c>
      <c r="B330">
        <v>888000</v>
      </c>
    </row>
    <row r="331" spans="1:2">
      <c r="A331" s="6">
        <v>8.1199999999999992</v>
      </c>
      <c r="B331">
        <v>1530000</v>
      </c>
    </row>
    <row r="332" spans="1:2">
      <c r="A332" s="6">
        <v>8.1300000000000008</v>
      </c>
      <c r="B332">
        <v>1771000</v>
      </c>
    </row>
    <row r="333" spans="1:2">
      <c r="A333" s="6">
        <v>8.14</v>
      </c>
      <c r="B333">
        <v>762000</v>
      </c>
    </row>
    <row r="334" spans="1:2">
      <c r="A334" s="6">
        <v>8.15</v>
      </c>
      <c r="B334">
        <v>2002000</v>
      </c>
    </row>
    <row r="335" spans="1:2">
      <c r="A335" s="6">
        <v>8.16</v>
      </c>
      <c r="B335">
        <v>325000</v>
      </c>
    </row>
    <row r="336" spans="1:2">
      <c r="A336" s="6">
        <v>8.17</v>
      </c>
      <c r="B336">
        <v>1317400</v>
      </c>
    </row>
    <row r="337" spans="1:2">
      <c r="A337" s="6">
        <v>8.18</v>
      </c>
      <c r="B337">
        <v>2431000</v>
      </c>
    </row>
    <row r="338" spans="1:2">
      <c r="A338" s="6">
        <v>8.19</v>
      </c>
      <c r="B338">
        <v>854000</v>
      </c>
    </row>
    <row r="339" spans="1:2">
      <c r="A339" s="6">
        <v>8.1999999999999993</v>
      </c>
      <c r="B339">
        <v>2136000</v>
      </c>
    </row>
    <row r="340" spans="1:2">
      <c r="A340" s="6">
        <v>8.2100000000000009</v>
      </c>
      <c r="B340">
        <v>1300000</v>
      </c>
    </row>
    <row r="341" spans="1:2">
      <c r="A341" s="6">
        <v>8.2200000000000006</v>
      </c>
      <c r="B341">
        <v>2969000</v>
      </c>
    </row>
    <row r="342" spans="1:2">
      <c r="A342" s="6">
        <v>8.23</v>
      </c>
      <c r="B342">
        <v>146000</v>
      </c>
    </row>
    <row r="343" spans="1:2">
      <c r="A343" s="6">
        <v>8.24</v>
      </c>
      <c r="B343">
        <v>498000</v>
      </c>
    </row>
    <row r="344" spans="1:2">
      <c r="A344" s="6">
        <v>8.25</v>
      </c>
      <c r="B344">
        <v>827000</v>
      </c>
    </row>
    <row r="345" spans="1:2">
      <c r="A345" s="6">
        <v>8.26</v>
      </c>
      <c r="B345">
        <v>551000</v>
      </c>
    </row>
    <row r="346" spans="1:2">
      <c r="A346" s="6">
        <v>8.2899999999999991</v>
      </c>
      <c r="B346">
        <v>918000</v>
      </c>
    </row>
    <row r="347" spans="1:2">
      <c r="A347" s="6">
        <v>8.3000000000000007</v>
      </c>
      <c r="B347">
        <v>423000</v>
      </c>
    </row>
    <row r="348" spans="1:2">
      <c r="A348" s="6">
        <v>8.32</v>
      </c>
      <c r="B348">
        <v>102000</v>
      </c>
    </row>
    <row r="349" spans="1:2">
      <c r="A349" s="6">
        <v>8.34</v>
      </c>
      <c r="B349">
        <v>1804000</v>
      </c>
    </row>
    <row r="350" spans="1:2">
      <c r="A350" s="6">
        <v>8.35</v>
      </c>
      <c r="B350">
        <v>2022000</v>
      </c>
    </row>
    <row r="351" spans="1:2">
      <c r="A351" s="6">
        <v>8.36</v>
      </c>
      <c r="B351">
        <v>5900</v>
      </c>
    </row>
    <row r="352" spans="1:2">
      <c r="A352" s="6">
        <v>8.3699999999999992</v>
      </c>
      <c r="B352">
        <v>211000</v>
      </c>
    </row>
    <row r="353" spans="1:2">
      <c r="A353" s="6">
        <v>8.3800000000000008</v>
      </c>
      <c r="B353">
        <v>695000</v>
      </c>
    </row>
    <row r="354" spans="1:2">
      <c r="A354" s="6">
        <v>8.39</v>
      </c>
      <c r="B354">
        <v>733000</v>
      </c>
    </row>
    <row r="355" spans="1:2">
      <c r="A355" s="6">
        <v>8.41</v>
      </c>
      <c r="B355">
        <v>589000</v>
      </c>
    </row>
    <row r="356" spans="1:2">
      <c r="A356" s="6">
        <v>8.42</v>
      </c>
      <c r="B356">
        <v>3210000</v>
      </c>
    </row>
    <row r="357" spans="1:2">
      <c r="A357" s="6">
        <v>8.43</v>
      </c>
      <c r="B357">
        <v>490000</v>
      </c>
    </row>
    <row r="358" spans="1:2">
      <c r="A358" s="6">
        <v>8.44</v>
      </c>
      <c r="B358">
        <v>248000</v>
      </c>
    </row>
    <row r="359" spans="1:2">
      <c r="A359" s="6">
        <v>8.4700000000000006</v>
      </c>
      <c r="B359">
        <v>38000</v>
      </c>
    </row>
    <row r="360" spans="1:2">
      <c r="A360" s="6">
        <v>8.48</v>
      </c>
      <c r="B360">
        <v>752000</v>
      </c>
    </row>
    <row r="361" spans="1:2">
      <c r="A361" s="6">
        <v>8.49</v>
      </c>
      <c r="B361">
        <v>11000</v>
      </c>
    </row>
    <row r="362" spans="1:2">
      <c r="A362" s="6">
        <v>8.5</v>
      </c>
      <c r="B362">
        <v>526000</v>
      </c>
    </row>
    <row r="363" spans="1:2">
      <c r="A363" s="6">
        <v>8.51</v>
      </c>
      <c r="B363">
        <v>3302000</v>
      </c>
    </row>
    <row r="364" spans="1:2">
      <c r="A364" s="6">
        <v>8.52</v>
      </c>
      <c r="B364">
        <v>561000</v>
      </c>
    </row>
    <row r="365" spans="1:2">
      <c r="A365" s="6">
        <v>8.5299999999999994</v>
      </c>
      <c r="B365">
        <v>436000</v>
      </c>
    </row>
    <row r="366" spans="1:2">
      <c r="A366" s="6">
        <v>8.5399999999999991</v>
      </c>
      <c r="B366">
        <v>1000000</v>
      </c>
    </row>
    <row r="367" spans="1:2">
      <c r="A367" s="6">
        <v>8.5500000000000007</v>
      </c>
      <c r="B367">
        <v>763000</v>
      </c>
    </row>
    <row r="368" spans="1:2">
      <c r="A368" s="6">
        <v>8.58</v>
      </c>
      <c r="B368">
        <v>97000</v>
      </c>
    </row>
    <row r="369" spans="1:2">
      <c r="A369" s="6">
        <v>8.59</v>
      </c>
      <c r="B369">
        <v>574000</v>
      </c>
    </row>
    <row r="370" spans="1:2">
      <c r="A370" s="6">
        <v>8.6</v>
      </c>
      <c r="B370">
        <v>536000</v>
      </c>
    </row>
    <row r="371" spans="1:2">
      <c r="A371" s="6">
        <v>8.61</v>
      </c>
      <c r="B371">
        <v>199000</v>
      </c>
    </row>
    <row r="372" spans="1:2">
      <c r="A372" s="6">
        <v>8.6199999999999992</v>
      </c>
      <c r="B372">
        <v>408000</v>
      </c>
    </row>
    <row r="373" spans="1:2">
      <c r="A373" s="6">
        <v>8.6300000000000008</v>
      </c>
      <c r="B373">
        <v>507000</v>
      </c>
    </row>
    <row r="374" spans="1:2">
      <c r="A374" s="6">
        <v>8.67</v>
      </c>
      <c r="B374">
        <v>1153000</v>
      </c>
    </row>
    <row r="375" spans="1:2">
      <c r="A375" s="6">
        <v>8.68</v>
      </c>
      <c r="B375">
        <v>242000</v>
      </c>
    </row>
    <row r="376" spans="1:2">
      <c r="A376" s="6">
        <v>8.6999999999999993</v>
      </c>
      <c r="B376">
        <v>2413000</v>
      </c>
    </row>
    <row r="377" spans="1:2">
      <c r="A377" s="6">
        <v>8.7200000000000006</v>
      </c>
      <c r="B377">
        <v>2068000</v>
      </c>
    </row>
    <row r="378" spans="1:2">
      <c r="A378" s="6">
        <v>8.73</v>
      </c>
      <c r="B378">
        <v>3726000</v>
      </c>
    </row>
    <row r="379" spans="1:2">
      <c r="A379" s="6">
        <v>8.76</v>
      </c>
      <c r="B379">
        <v>304000</v>
      </c>
    </row>
    <row r="380" spans="1:2">
      <c r="A380" s="6">
        <v>8.77</v>
      </c>
      <c r="B380">
        <v>1500000</v>
      </c>
    </row>
    <row r="381" spans="1:2">
      <c r="A381" s="6">
        <v>8.7899999999999991</v>
      </c>
      <c r="B381">
        <v>2300000</v>
      </c>
    </row>
    <row r="382" spans="1:2">
      <c r="A382" s="6">
        <v>8.82</v>
      </c>
      <c r="B382">
        <v>844000</v>
      </c>
    </row>
    <row r="383" spans="1:2">
      <c r="A383" s="6">
        <v>8.85</v>
      </c>
      <c r="B383">
        <v>821000</v>
      </c>
    </row>
    <row r="384" spans="1:2">
      <c r="A384" s="6">
        <v>8.91</v>
      </c>
      <c r="B384">
        <v>487000</v>
      </c>
    </row>
    <row r="385" spans="1:2">
      <c r="A385" s="6">
        <v>8.94</v>
      </c>
      <c r="B385">
        <v>560000</v>
      </c>
    </row>
    <row r="386" spans="1:2">
      <c r="A386" s="6">
        <v>8.9600000000000009</v>
      </c>
      <c r="B386">
        <v>482000</v>
      </c>
    </row>
    <row r="387" spans="1:2">
      <c r="A387" s="6">
        <v>8.98</v>
      </c>
      <c r="B387">
        <v>698000</v>
      </c>
    </row>
    <row r="388" spans="1:2">
      <c r="A388" s="6">
        <v>9.09</v>
      </c>
      <c r="B388">
        <v>444000</v>
      </c>
    </row>
    <row r="389" spans="1:2">
      <c r="A389" s="6">
        <v>9.18</v>
      </c>
      <c r="B389">
        <v>182000</v>
      </c>
    </row>
    <row r="390" spans="1:2">
      <c r="A390" s="6">
        <v>9.27</v>
      </c>
      <c r="B390">
        <v>1400000</v>
      </c>
    </row>
    <row r="391" spans="1:2">
      <c r="A391" s="6" t="s">
        <v>1278</v>
      </c>
      <c r="B391">
        <v>130883933</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F9121-8154-4C7A-97BB-C1FB6E7898CD}">
  <dimension ref="A1:H442"/>
  <sheetViews>
    <sheetView topLeftCell="A2" workbookViewId="0">
      <selection sqref="A1:H442"/>
    </sheetView>
  </sheetViews>
  <sheetFormatPr defaultRowHeight="14.4"/>
  <cols>
    <col min="1" max="1" width="25.33203125" bestFit="1" customWidth="1"/>
    <col min="2" max="2" width="9.109375" bestFit="1" customWidth="1"/>
    <col min="3" max="3" width="12.5546875" bestFit="1" customWidth="1"/>
    <col min="4" max="4" width="10.33203125" bestFit="1" customWidth="1"/>
    <col min="5" max="5" width="19.33203125" bestFit="1" customWidth="1"/>
    <col min="6" max="6" width="22.6640625" bestFit="1" customWidth="1"/>
    <col min="7" max="7" width="8.6640625" bestFit="1" customWidth="1"/>
    <col min="8" max="8" width="16.33203125" bestFit="1" customWidth="1"/>
  </cols>
  <sheetData>
    <row r="1" spans="1:8">
      <c r="A1" t="s">
        <v>0</v>
      </c>
      <c r="B1" t="s">
        <v>1440</v>
      </c>
      <c r="C1" t="s">
        <v>1439</v>
      </c>
      <c r="D1" t="s">
        <v>1438</v>
      </c>
      <c r="E1" t="s">
        <v>1437</v>
      </c>
      <c r="F1" t="s">
        <v>1436</v>
      </c>
      <c r="G1" t="s">
        <v>1435</v>
      </c>
      <c r="H1" t="s">
        <v>1434</v>
      </c>
    </row>
    <row r="2" spans="1:8">
      <c r="A2" t="s">
        <v>1433</v>
      </c>
      <c r="B2" t="s">
        <v>57</v>
      </c>
      <c r="C2" t="s">
        <v>1300</v>
      </c>
      <c r="D2">
        <v>2023</v>
      </c>
      <c r="E2">
        <v>9.5</v>
      </c>
      <c r="F2">
        <v>22.3</v>
      </c>
      <c r="G2" t="s">
        <v>1304</v>
      </c>
      <c r="H2">
        <v>1</v>
      </c>
    </row>
    <row r="3" spans="1:8">
      <c r="A3" t="s">
        <v>1432</v>
      </c>
      <c r="B3" t="s">
        <v>183</v>
      </c>
      <c r="C3" t="s">
        <v>1300</v>
      </c>
      <c r="D3">
        <v>2023</v>
      </c>
      <c r="E3">
        <v>9.5</v>
      </c>
      <c r="F3">
        <v>26.4</v>
      </c>
      <c r="G3" t="s">
        <v>1304</v>
      </c>
      <c r="H3">
        <v>2</v>
      </c>
    </row>
    <row r="4" spans="1:8">
      <c r="A4" t="s">
        <v>1432</v>
      </c>
      <c r="B4" t="s">
        <v>183</v>
      </c>
      <c r="C4" t="s">
        <v>1300</v>
      </c>
      <c r="D4">
        <v>2023</v>
      </c>
      <c r="E4">
        <v>9.5</v>
      </c>
      <c r="F4">
        <v>16.100000000000001</v>
      </c>
      <c r="G4" t="s">
        <v>1315</v>
      </c>
      <c r="H4">
        <v>3</v>
      </c>
    </row>
    <row r="5" spans="1:8">
      <c r="A5" t="s">
        <v>1430</v>
      </c>
      <c r="B5" t="s">
        <v>183</v>
      </c>
      <c r="C5" t="s">
        <v>1300</v>
      </c>
      <c r="D5">
        <v>2026</v>
      </c>
      <c r="E5">
        <v>9.5</v>
      </c>
      <c r="F5">
        <v>21.4</v>
      </c>
      <c r="G5" t="s">
        <v>1315</v>
      </c>
      <c r="H5">
        <v>4</v>
      </c>
    </row>
    <row r="6" spans="1:8">
      <c r="A6" t="s">
        <v>1430</v>
      </c>
      <c r="B6" t="s">
        <v>183</v>
      </c>
      <c r="C6" t="s">
        <v>1300</v>
      </c>
      <c r="D6">
        <v>2026</v>
      </c>
      <c r="E6">
        <v>9.4</v>
      </c>
      <c r="F6">
        <v>35.700000000000003</v>
      </c>
      <c r="G6" t="s">
        <v>1304</v>
      </c>
      <c r="H6">
        <v>5</v>
      </c>
    </row>
    <row r="7" spans="1:8">
      <c r="A7" t="s">
        <v>1430</v>
      </c>
      <c r="B7" t="s">
        <v>183</v>
      </c>
      <c r="C7" t="s">
        <v>1300</v>
      </c>
      <c r="D7">
        <v>2026</v>
      </c>
      <c r="E7">
        <v>9.4</v>
      </c>
      <c r="F7">
        <v>27.2</v>
      </c>
      <c r="G7" t="s">
        <v>1303</v>
      </c>
      <c r="H7">
        <v>6</v>
      </c>
    </row>
    <row r="8" spans="1:8">
      <c r="A8" t="s">
        <v>1429</v>
      </c>
      <c r="B8" t="s">
        <v>126</v>
      </c>
      <c r="C8" t="s">
        <v>1310</v>
      </c>
      <c r="D8">
        <v>2026</v>
      </c>
      <c r="E8">
        <v>9.4</v>
      </c>
      <c r="F8">
        <v>15.9</v>
      </c>
      <c r="G8" t="s">
        <v>1304</v>
      </c>
      <c r="H8">
        <v>7</v>
      </c>
    </row>
    <row r="9" spans="1:8">
      <c r="A9" t="s">
        <v>1433</v>
      </c>
      <c r="B9" t="s">
        <v>57</v>
      </c>
      <c r="C9" t="s">
        <v>1300</v>
      </c>
      <c r="D9">
        <v>2023</v>
      </c>
      <c r="E9">
        <v>9.3000000000000007</v>
      </c>
      <c r="F9">
        <v>13.8</v>
      </c>
      <c r="G9" t="s">
        <v>1315</v>
      </c>
      <c r="H9">
        <v>8</v>
      </c>
    </row>
    <row r="10" spans="1:8">
      <c r="A10" t="s">
        <v>1432</v>
      </c>
      <c r="B10" t="s">
        <v>183</v>
      </c>
      <c r="C10" t="s">
        <v>1300</v>
      </c>
      <c r="D10">
        <v>2023</v>
      </c>
      <c r="E10">
        <v>9.3000000000000007</v>
      </c>
      <c r="F10">
        <v>20.5</v>
      </c>
      <c r="G10" t="s">
        <v>1303</v>
      </c>
      <c r="H10">
        <v>9</v>
      </c>
    </row>
    <row r="11" spans="1:8">
      <c r="A11" t="s">
        <v>1426</v>
      </c>
      <c r="B11" t="s">
        <v>183</v>
      </c>
      <c r="C11" t="s">
        <v>1300</v>
      </c>
      <c r="D11">
        <v>2025</v>
      </c>
      <c r="E11">
        <v>9.3000000000000007</v>
      </c>
      <c r="F11">
        <v>30.4</v>
      </c>
      <c r="G11" t="s">
        <v>1304</v>
      </c>
      <c r="H11">
        <v>10</v>
      </c>
    </row>
    <row r="12" spans="1:8">
      <c r="A12" t="s">
        <v>1429</v>
      </c>
      <c r="B12" t="s">
        <v>126</v>
      </c>
      <c r="C12" t="s">
        <v>1310</v>
      </c>
      <c r="D12">
        <v>2026</v>
      </c>
      <c r="E12">
        <v>9.3000000000000007</v>
      </c>
      <c r="F12">
        <v>10</v>
      </c>
      <c r="G12" t="s">
        <v>1315</v>
      </c>
      <c r="H12">
        <v>11</v>
      </c>
    </row>
    <row r="13" spans="1:8">
      <c r="A13" t="s">
        <v>1422</v>
      </c>
      <c r="B13" t="s">
        <v>183</v>
      </c>
      <c r="C13" t="s">
        <v>1321</v>
      </c>
      <c r="D13">
        <v>2026</v>
      </c>
      <c r="E13">
        <v>9.3000000000000007</v>
      </c>
      <c r="F13">
        <v>25.1</v>
      </c>
      <c r="G13" t="s">
        <v>1304</v>
      </c>
      <c r="H13">
        <v>12</v>
      </c>
    </row>
    <row r="14" spans="1:8">
      <c r="A14" t="s">
        <v>1418</v>
      </c>
      <c r="B14" t="s">
        <v>57</v>
      </c>
      <c r="C14" t="s">
        <v>1305</v>
      </c>
      <c r="D14">
        <v>2026</v>
      </c>
      <c r="E14">
        <v>9.1999999999999993</v>
      </c>
      <c r="F14">
        <v>24.1</v>
      </c>
      <c r="G14" t="s">
        <v>1304</v>
      </c>
      <c r="H14">
        <v>13</v>
      </c>
    </row>
    <row r="15" spans="1:8">
      <c r="A15" t="s">
        <v>1433</v>
      </c>
      <c r="B15" t="s">
        <v>57</v>
      </c>
      <c r="C15" t="s">
        <v>1300</v>
      </c>
      <c r="D15">
        <v>2023</v>
      </c>
      <c r="E15">
        <v>9.1999999999999993</v>
      </c>
      <c r="F15">
        <v>17.899999999999999</v>
      </c>
      <c r="G15" t="s">
        <v>1303</v>
      </c>
      <c r="H15">
        <v>14</v>
      </c>
    </row>
    <row r="16" spans="1:8">
      <c r="A16" t="s">
        <v>1425</v>
      </c>
      <c r="B16" t="s">
        <v>1281</v>
      </c>
      <c r="C16" t="s">
        <v>1300</v>
      </c>
      <c r="D16">
        <v>2025</v>
      </c>
      <c r="E16">
        <v>9.1999999999999993</v>
      </c>
      <c r="F16">
        <v>17.399999999999999</v>
      </c>
      <c r="G16" t="s">
        <v>1304</v>
      </c>
      <c r="H16">
        <v>15</v>
      </c>
    </row>
    <row r="17" spans="1:8">
      <c r="A17" t="s">
        <v>1428</v>
      </c>
      <c r="B17" t="s">
        <v>1043</v>
      </c>
      <c r="C17" t="s">
        <v>1321</v>
      </c>
      <c r="D17">
        <v>2024</v>
      </c>
      <c r="E17">
        <v>9.1999999999999993</v>
      </c>
      <c r="F17">
        <v>11.6</v>
      </c>
      <c r="G17" t="s">
        <v>1315</v>
      </c>
      <c r="H17">
        <v>16</v>
      </c>
    </row>
    <row r="18" spans="1:8">
      <c r="A18" t="s">
        <v>1427</v>
      </c>
      <c r="B18" t="s">
        <v>183</v>
      </c>
      <c r="C18" t="s">
        <v>1321</v>
      </c>
      <c r="D18">
        <v>2025</v>
      </c>
      <c r="E18">
        <v>9.1999999999999993</v>
      </c>
      <c r="F18">
        <v>23.6</v>
      </c>
      <c r="G18" t="s">
        <v>1304</v>
      </c>
      <c r="H18">
        <v>17</v>
      </c>
    </row>
    <row r="19" spans="1:8">
      <c r="A19" t="s">
        <v>1433</v>
      </c>
      <c r="B19" t="s">
        <v>57</v>
      </c>
      <c r="C19" t="s">
        <v>1300</v>
      </c>
      <c r="D19">
        <v>2023</v>
      </c>
      <c r="E19">
        <v>9.1</v>
      </c>
      <c r="F19">
        <v>12.3</v>
      </c>
      <c r="G19" t="s">
        <v>1299</v>
      </c>
      <c r="H19">
        <v>18</v>
      </c>
    </row>
    <row r="20" spans="1:8">
      <c r="A20" t="s">
        <v>1432</v>
      </c>
      <c r="B20" t="s">
        <v>183</v>
      </c>
      <c r="C20" t="s">
        <v>1300</v>
      </c>
      <c r="D20">
        <v>2023</v>
      </c>
      <c r="E20">
        <v>9.1</v>
      </c>
      <c r="F20">
        <v>13.3</v>
      </c>
      <c r="G20" t="s">
        <v>1299</v>
      </c>
      <c r="H20">
        <v>19</v>
      </c>
    </row>
    <row r="21" spans="1:8">
      <c r="A21" t="s">
        <v>1420</v>
      </c>
      <c r="B21" t="s">
        <v>1281</v>
      </c>
      <c r="C21" t="s">
        <v>1300</v>
      </c>
      <c r="D21">
        <v>2024</v>
      </c>
      <c r="E21">
        <v>9.1</v>
      </c>
      <c r="F21">
        <v>15.1</v>
      </c>
      <c r="G21" t="s">
        <v>1304</v>
      </c>
      <c r="H21">
        <v>20</v>
      </c>
    </row>
    <row r="22" spans="1:8">
      <c r="A22" t="s">
        <v>1413</v>
      </c>
      <c r="B22" t="s">
        <v>183</v>
      </c>
      <c r="C22" t="s">
        <v>1300</v>
      </c>
      <c r="D22">
        <v>2025</v>
      </c>
      <c r="E22">
        <v>9.1</v>
      </c>
      <c r="F22">
        <v>28.3</v>
      </c>
      <c r="G22" t="s">
        <v>1304</v>
      </c>
      <c r="H22">
        <v>21</v>
      </c>
    </row>
    <row r="23" spans="1:8">
      <c r="A23" t="s">
        <v>1413</v>
      </c>
      <c r="B23" t="s">
        <v>183</v>
      </c>
      <c r="C23" t="s">
        <v>1300</v>
      </c>
      <c r="D23">
        <v>2025</v>
      </c>
      <c r="E23">
        <v>9.1</v>
      </c>
      <c r="F23">
        <v>18.2</v>
      </c>
      <c r="G23" t="s">
        <v>1315</v>
      </c>
      <c r="H23">
        <v>22</v>
      </c>
    </row>
    <row r="24" spans="1:8">
      <c r="A24" t="s">
        <v>1431</v>
      </c>
      <c r="B24" t="s">
        <v>126</v>
      </c>
      <c r="C24" t="s">
        <v>1300</v>
      </c>
      <c r="D24">
        <v>2025</v>
      </c>
      <c r="E24">
        <v>9.1</v>
      </c>
      <c r="F24">
        <v>14.7</v>
      </c>
      <c r="G24" t="s">
        <v>1304</v>
      </c>
      <c r="H24">
        <v>23</v>
      </c>
    </row>
    <row r="25" spans="1:8">
      <c r="A25" t="s">
        <v>1431</v>
      </c>
      <c r="B25" t="s">
        <v>126</v>
      </c>
      <c r="C25" t="s">
        <v>1300</v>
      </c>
      <c r="D25">
        <v>2025</v>
      </c>
      <c r="E25">
        <v>9.1</v>
      </c>
      <c r="F25">
        <v>11.6</v>
      </c>
      <c r="G25" t="s">
        <v>1303</v>
      </c>
      <c r="H25">
        <v>24</v>
      </c>
    </row>
    <row r="26" spans="1:8">
      <c r="A26" t="s">
        <v>1431</v>
      </c>
      <c r="B26" t="s">
        <v>126</v>
      </c>
      <c r="C26" t="s">
        <v>1300</v>
      </c>
      <c r="D26">
        <v>2025</v>
      </c>
      <c r="E26">
        <v>9.1</v>
      </c>
      <c r="F26">
        <v>9.5</v>
      </c>
      <c r="G26" t="s">
        <v>1315</v>
      </c>
      <c r="H26">
        <v>25</v>
      </c>
    </row>
    <row r="27" spans="1:8">
      <c r="A27" t="s">
        <v>1430</v>
      </c>
      <c r="B27" t="s">
        <v>183</v>
      </c>
      <c r="C27" t="s">
        <v>1300</v>
      </c>
      <c r="D27">
        <v>2026</v>
      </c>
      <c r="E27">
        <v>9.1</v>
      </c>
      <c r="F27">
        <v>18.7</v>
      </c>
      <c r="G27" t="s">
        <v>1299</v>
      </c>
      <c r="H27">
        <v>26</v>
      </c>
    </row>
    <row r="28" spans="1:8">
      <c r="A28" t="s">
        <v>1419</v>
      </c>
      <c r="B28" t="s">
        <v>183</v>
      </c>
      <c r="C28" t="s">
        <v>1300</v>
      </c>
      <c r="D28">
        <v>2026</v>
      </c>
      <c r="E28">
        <v>9.1</v>
      </c>
      <c r="F28">
        <v>30.4</v>
      </c>
      <c r="G28" t="s">
        <v>1304</v>
      </c>
      <c r="H28">
        <v>27</v>
      </c>
    </row>
    <row r="29" spans="1:8">
      <c r="A29" t="s">
        <v>1419</v>
      </c>
      <c r="B29" t="s">
        <v>183</v>
      </c>
      <c r="C29" t="s">
        <v>1300</v>
      </c>
      <c r="D29">
        <v>2026</v>
      </c>
      <c r="E29">
        <v>9.1</v>
      </c>
      <c r="F29">
        <v>18.899999999999999</v>
      </c>
      <c r="G29" t="s">
        <v>1315</v>
      </c>
      <c r="H29">
        <v>28</v>
      </c>
    </row>
    <row r="30" spans="1:8">
      <c r="A30" t="s">
        <v>1423</v>
      </c>
      <c r="B30" t="s">
        <v>126</v>
      </c>
      <c r="C30" t="s">
        <v>1310</v>
      </c>
      <c r="D30">
        <v>2025</v>
      </c>
      <c r="E30">
        <v>9.1</v>
      </c>
      <c r="F30">
        <v>14</v>
      </c>
      <c r="G30" t="s">
        <v>1304</v>
      </c>
      <c r="H30">
        <v>29</v>
      </c>
    </row>
    <row r="31" spans="1:8">
      <c r="A31" t="s">
        <v>1423</v>
      </c>
      <c r="B31" t="s">
        <v>126</v>
      </c>
      <c r="C31" t="s">
        <v>1310</v>
      </c>
      <c r="D31">
        <v>2025</v>
      </c>
      <c r="E31">
        <v>9.1</v>
      </c>
      <c r="F31">
        <v>9.5</v>
      </c>
      <c r="G31" t="s">
        <v>1315</v>
      </c>
      <c r="H31">
        <v>30</v>
      </c>
    </row>
    <row r="32" spans="1:8">
      <c r="A32" t="s">
        <v>1411</v>
      </c>
      <c r="B32" t="s">
        <v>1043</v>
      </c>
      <c r="C32" t="s">
        <v>1321</v>
      </c>
      <c r="D32">
        <v>2021</v>
      </c>
      <c r="E32">
        <v>9.1</v>
      </c>
      <c r="F32">
        <v>17.3</v>
      </c>
      <c r="G32" t="s">
        <v>1304</v>
      </c>
      <c r="H32">
        <v>31</v>
      </c>
    </row>
    <row r="33" spans="1:8">
      <c r="A33" t="s">
        <v>1428</v>
      </c>
      <c r="B33" t="s">
        <v>1043</v>
      </c>
      <c r="C33" t="s">
        <v>1321</v>
      </c>
      <c r="D33">
        <v>2024</v>
      </c>
      <c r="E33">
        <v>9.1</v>
      </c>
      <c r="F33">
        <v>18.5</v>
      </c>
      <c r="G33" t="s">
        <v>1304</v>
      </c>
      <c r="H33">
        <v>32</v>
      </c>
    </row>
    <row r="34" spans="1:8">
      <c r="A34" t="s">
        <v>1409</v>
      </c>
      <c r="B34" t="s">
        <v>1046</v>
      </c>
      <c r="C34" t="s">
        <v>1321</v>
      </c>
      <c r="D34">
        <v>2025</v>
      </c>
      <c r="E34">
        <v>9.1</v>
      </c>
      <c r="F34">
        <v>22.2</v>
      </c>
      <c r="G34" t="s">
        <v>1304</v>
      </c>
      <c r="H34">
        <v>33</v>
      </c>
    </row>
    <row r="35" spans="1:8">
      <c r="A35" t="s">
        <v>1427</v>
      </c>
      <c r="B35" t="s">
        <v>183</v>
      </c>
      <c r="C35" t="s">
        <v>1321</v>
      </c>
      <c r="D35">
        <v>2025</v>
      </c>
      <c r="E35">
        <v>9.1</v>
      </c>
      <c r="F35">
        <v>14.8</v>
      </c>
      <c r="G35" t="s">
        <v>1315</v>
      </c>
      <c r="H35">
        <v>34</v>
      </c>
    </row>
    <row r="36" spans="1:8">
      <c r="A36" t="s">
        <v>1422</v>
      </c>
      <c r="B36" t="s">
        <v>183</v>
      </c>
      <c r="C36" t="s">
        <v>1321</v>
      </c>
      <c r="D36">
        <v>2026</v>
      </c>
      <c r="E36">
        <v>9.1</v>
      </c>
      <c r="F36">
        <v>15.6</v>
      </c>
      <c r="G36" t="s">
        <v>1315</v>
      </c>
      <c r="H36">
        <v>35</v>
      </c>
    </row>
    <row r="37" spans="1:8">
      <c r="A37" t="s">
        <v>1421</v>
      </c>
      <c r="B37" t="s">
        <v>57</v>
      </c>
      <c r="C37" t="s">
        <v>1305</v>
      </c>
      <c r="D37">
        <v>2025</v>
      </c>
      <c r="E37">
        <v>9</v>
      </c>
      <c r="F37">
        <v>22.8</v>
      </c>
      <c r="G37" t="s">
        <v>1304</v>
      </c>
      <c r="H37">
        <v>36</v>
      </c>
    </row>
    <row r="38" spans="1:8">
      <c r="A38" t="s">
        <v>1417</v>
      </c>
      <c r="B38" t="s">
        <v>183</v>
      </c>
      <c r="C38" t="s">
        <v>1300</v>
      </c>
      <c r="D38">
        <v>2022</v>
      </c>
      <c r="E38">
        <v>9</v>
      </c>
      <c r="F38">
        <v>12.9</v>
      </c>
      <c r="G38" t="s">
        <v>1315</v>
      </c>
      <c r="H38">
        <v>37</v>
      </c>
    </row>
    <row r="39" spans="1:8">
      <c r="A39" t="s">
        <v>1426</v>
      </c>
      <c r="B39" t="s">
        <v>183</v>
      </c>
      <c r="C39" t="s">
        <v>1300</v>
      </c>
      <c r="D39">
        <v>2025</v>
      </c>
      <c r="E39">
        <v>9</v>
      </c>
      <c r="F39">
        <v>15.6</v>
      </c>
      <c r="G39" t="s">
        <v>1299</v>
      </c>
      <c r="H39">
        <v>38</v>
      </c>
    </row>
    <row r="40" spans="1:8">
      <c r="A40" t="s">
        <v>1426</v>
      </c>
      <c r="B40" t="s">
        <v>183</v>
      </c>
      <c r="C40" t="s">
        <v>1300</v>
      </c>
      <c r="D40">
        <v>2025</v>
      </c>
      <c r="E40">
        <v>9</v>
      </c>
      <c r="F40">
        <v>18.399999999999999</v>
      </c>
      <c r="G40" t="s">
        <v>1315</v>
      </c>
      <c r="H40">
        <v>39</v>
      </c>
    </row>
    <row r="41" spans="1:8">
      <c r="A41" t="s">
        <v>1413</v>
      </c>
      <c r="B41" t="s">
        <v>183</v>
      </c>
      <c r="C41" t="s">
        <v>1300</v>
      </c>
      <c r="D41">
        <v>2025</v>
      </c>
      <c r="E41">
        <v>9</v>
      </c>
      <c r="F41">
        <v>21.9</v>
      </c>
      <c r="G41" t="s">
        <v>1303</v>
      </c>
      <c r="H41">
        <v>40</v>
      </c>
    </row>
    <row r="42" spans="1:8">
      <c r="A42" t="s">
        <v>1425</v>
      </c>
      <c r="B42" t="s">
        <v>1281</v>
      </c>
      <c r="C42" t="s">
        <v>1300</v>
      </c>
      <c r="D42">
        <v>2025</v>
      </c>
      <c r="E42">
        <v>9</v>
      </c>
      <c r="F42">
        <v>11</v>
      </c>
      <c r="G42" t="s">
        <v>1315</v>
      </c>
      <c r="H42">
        <v>41</v>
      </c>
    </row>
    <row r="43" spans="1:8">
      <c r="A43" t="s">
        <v>1404</v>
      </c>
      <c r="B43" t="s">
        <v>183</v>
      </c>
      <c r="C43" t="s">
        <v>1300</v>
      </c>
      <c r="D43">
        <v>2026</v>
      </c>
      <c r="E43">
        <v>9</v>
      </c>
      <c r="F43">
        <v>26.8</v>
      </c>
      <c r="G43" t="s">
        <v>1304</v>
      </c>
      <c r="H43">
        <v>42</v>
      </c>
    </row>
    <row r="44" spans="1:8">
      <c r="A44" t="s">
        <v>1424</v>
      </c>
      <c r="B44" t="s">
        <v>126</v>
      </c>
      <c r="C44" t="s">
        <v>1310</v>
      </c>
      <c r="D44">
        <v>2023</v>
      </c>
      <c r="E44">
        <v>9</v>
      </c>
      <c r="F44">
        <v>8.1</v>
      </c>
      <c r="G44" t="s">
        <v>1315</v>
      </c>
      <c r="H44">
        <v>43</v>
      </c>
    </row>
    <row r="45" spans="1:8">
      <c r="A45" t="s">
        <v>1429</v>
      </c>
      <c r="B45" t="s">
        <v>126</v>
      </c>
      <c r="C45" t="s">
        <v>1310</v>
      </c>
      <c r="D45">
        <v>2026</v>
      </c>
      <c r="E45">
        <v>9</v>
      </c>
      <c r="F45">
        <v>12.8</v>
      </c>
      <c r="G45" t="s">
        <v>1303</v>
      </c>
      <c r="H45">
        <v>44</v>
      </c>
    </row>
    <row r="46" spans="1:8">
      <c r="A46" t="s">
        <v>1410</v>
      </c>
      <c r="B46" t="s">
        <v>183</v>
      </c>
      <c r="C46" t="s">
        <v>1321</v>
      </c>
      <c r="D46">
        <v>2022</v>
      </c>
      <c r="E46">
        <v>9</v>
      </c>
      <c r="F46">
        <v>21.7</v>
      </c>
      <c r="G46" t="s">
        <v>1304</v>
      </c>
      <c r="H46">
        <v>45</v>
      </c>
    </row>
    <row r="47" spans="1:8">
      <c r="A47" t="s">
        <v>1428</v>
      </c>
      <c r="B47" t="s">
        <v>1043</v>
      </c>
      <c r="C47" t="s">
        <v>1321</v>
      </c>
      <c r="D47">
        <v>2024</v>
      </c>
      <c r="E47">
        <v>9</v>
      </c>
      <c r="F47">
        <v>14.5</v>
      </c>
      <c r="G47" t="s">
        <v>1303</v>
      </c>
      <c r="H47">
        <v>46</v>
      </c>
    </row>
    <row r="48" spans="1:8">
      <c r="A48" t="s">
        <v>1428</v>
      </c>
      <c r="B48" t="s">
        <v>1043</v>
      </c>
      <c r="C48" t="s">
        <v>1321</v>
      </c>
      <c r="D48">
        <v>2024</v>
      </c>
      <c r="E48">
        <v>9</v>
      </c>
      <c r="F48">
        <v>10.4</v>
      </c>
      <c r="G48" t="s">
        <v>1299</v>
      </c>
      <c r="H48">
        <v>47</v>
      </c>
    </row>
    <row r="49" spans="1:8">
      <c r="A49" t="s">
        <v>1427</v>
      </c>
      <c r="B49" t="s">
        <v>183</v>
      </c>
      <c r="C49" t="s">
        <v>1321</v>
      </c>
      <c r="D49">
        <v>2025</v>
      </c>
      <c r="E49">
        <v>9</v>
      </c>
      <c r="F49">
        <v>19.2</v>
      </c>
      <c r="G49" t="s">
        <v>1303</v>
      </c>
      <c r="H49">
        <v>48</v>
      </c>
    </row>
    <row r="50" spans="1:8">
      <c r="A50" t="s">
        <v>1427</v>
      </c>
      <c r="B50" t="s">
        <v>183</v>
      </c>
      <c r="C50" t="s">
        <v>1321</v>
      </c>
      <c r="D50">
        <v>2025</v>
      </c>
      <c r="E50">
        <v>9</v>
      </c>
      <c r="F50">
        <v>12.1</v>
      </c>
      <c r="G50" t="s">
        <v>1299</v>
      </c>
      <c r="H50">
        <v>49</v>
      </c>
    </row>
    <row r="51" spans="1:8">
      <c r="A51" t="s">
        <v>1408</v>
      </c>
      <c r="B51" t="s">
        <v>1046</v>
      </c>
      <c r="C51" t="s">
        <v>1321</v>
      </c>
      <c r="D51">
        <v>2026</v>
      </c>
      <c r="E51">
        <v>9</v>
      </c>
      <c r="F51">
        <v>23.1</v>
      </c>
      <c r="G51" t="s">
        <v>1304</v>
      </c>
      <c r="H51">
        <v>50</v>
      </c>
    </row>
    <row r="52" spans="1:8">
      <c r="A52" t="s">
        <v>1422</v>
      </c>
      <c r="B52" t="s">
        <v>183</v>
      </c>
      <c r="C52" t="s">
        <v>1321</v>
      </c>
      <c r="D52">
        <v>2026</v>
      </c>
      <c r="E52">
        <v>9</v>
      </c>
      <c r="F52">
        <v>19.899999999999999</v>
      </c>
      <c r="G52" t="s">
        <v>1303</v>
      </c>
      <c r="H52">
        <v>51</v>
      </c>
    </row>
    <row r="53" spans="1:8">
      <c r="A53" t="s">
        <v>1418</v>
      </c>
      <c r="B53" t="s">
        <v>57</v>
      </c>
      <c r="C53" t="s">
        <v>1305</v>
      </c>
      <c r="D53">
        <v>2026</v>
      </c>
      <c r="E53">
        <v>8.9</v>
      </c>
      <c r="F53">
        <v>14.8</v>
      </c>
      <c r="G53" t="s">
        <v>1315</v>
      </c>
      <c r="H53">
        <v>52</v>
      </c>
    </row>
    <row r="54" spans="1:8">
      <c r="A54" t="s">
        <v>1417</v>
      </c>
      <c r="B54" t="s">
        <v>183</v>
      </c>
      <c r="C54" t="s">
        <v>1300</v>
      </c>
      <c r="D54">
        <v>2022</v>
      </c>
      <c r="E54">
        <v>8.9</v>
      </c>
      <c r="F54">
        <v>21.5</v>
      </c>
      <c r="G54" t="s">
        <v>1304</v>
      </c>
      <c r="H54">
        <v>53</v>
      </c>
    </row>
    <row r="55" spans="1:8">
      <c r="A55" t="s">
        <v>1416</v>
      </c>
      <c r="B55" t="s">
        <v>183</v>
      </c>
      <c r="C55" t="s">
        <v>1300</v>
      </c>
      <c r="D55">
        <v>2023</v>
      </c>
      <c r="E55">
        <v>8.9</v>
      </c>
      <c r="F55">
        <v>16.899999999999999</v>
      </c>
      <c r="G55" t="s">
        <v>1315</v>
      </c>
      <c r="H55">
        <v>54</v>
      </c>
    </row>
    <row r="56" spans="1:8">
      <c r="A56" t="s">
        <v>1415</v>
      </c>
      <c r="B56" t="s">
        <v>126</v>
      </c>
      <c r="C56" t="s">
        <v>1300</v>
      </c>
      <c r="D56">
        <v>2023</v>
      </c>
      <c r="E56">
        <v>8.9</v>
      </c>
      <c r="F56">
        <v>13</v>
      </c>
      <c r="G56" t="s">
        <v>1304</v>
      </c>
      <c r="H56">
        <v>55</v>
      </c>
    </row>
    <row r="57" spans="1:8">
      <c r="A57" t="s">
        <v>1426</v>
      </c>
      <c r="B57" t="s">
        <v>183</v>
      </c>
      <c r="C57" t="s">
        <v>1300</v>
      </c>
      <c r="D57">
        <v>2025</v>
      </c>
      <c r="E57">
        <v>8.9</v>
      </c>
      <c r="F57">
        <v>24</v>
      </c>
      <c r="G57" t="s">
        <v>1303</v>
      </c>
      <c r="H57">
        <v>56</v>
      </c>
    </row>
    <row r="58" spans="1:8">
      <c r="A58" t="s">
        <v>1425</v>
      </c>
      <c r="B58" t="s">
        <v>1281</v>
      </c>
      <c r="C58" t="s">
        <v>1300</v>
      </c>
      <c r="D58">
        <v>2025</v>
      </c>
      <c r="E58">
        <v>8.9</v>
      </c>
      <c r="F58">
        <v>13.7</v>
      </c>
      <c r="G58" t="s">
        <v>1303</v>
      </c>
      <c r="H58">
        <v>57</v>
      </c>
    </row>
    <row r="59" spans="1:8">
      <c r="A59" t="s">
        <v>1419</v>
      </c>
      <c r="B59" t="s">
        <v>183</v>
      </c>
      <c r="C59" t="s">
        <v>1300</v>
      </c>
      <c r="D59">
        <v>2026</v>
      </c>
      <c r="E59">
        <v>8.9</v>
      </c>
      <c r="F59">
        <v>24.1</v>
      </c>
      <c r="G59" t="s">
        <v>1303</v>
      </c>
      <c r="H59">
        <v>58</v>
      </c>
    </row>
    <row r="60" spans="1:8">
      <c r="A60" t="s">
        <v>1424</v>
      </c>
      <c r="B60" t="s">
        <v>126</v>
      </c>
      <c r="C60" t="s">
        <v>1310</v>
      </c>
      <c r="D60">
        <v>2023</v>
      </c>
      <c r="E60">
        <v>8.9</v>
      </c>
      <c r="F60">
        <v>12.9</v>
      </c>
      <c r="G60" t="s">
        <v>1304</v>
      </c>
      <c r="H60">
        <v>59</v>
      </c>
    </row>
    <row r="61" spans="1:8">
      <c r="A61" t="s">
        <v>1424</v>
      </c>
      <c r="B61" t="s">
        <v>126</v>
      </c>
      <c r="C61" t="s">
        <v>1310</v>
      </c>
      <c r="D61">
        <v>2023</v>
      </c>
      <c r="E61">
        <v>8.9</v>
      </c>
      <c r="F61">
        <v>9.4</v>
      </c>
      <c r="G61" t="s">
        <v>1303</v>
      </c>
      <c r="H61">
        <v>60</v>
      </c>
    </row>
    <row r="62" spans="1:8">
      <c r="A62" t="s">
        <v>1391</v>
      </c>
      <c r="B62" t="s">
        <v>237</v>
      </c>
      <c r="C62" t="s">
        <v>1310</v>
      </c>
      <c r="D62">
        <v>2023</v>
      </c>
      <c r="E62">
        <v>8.9</v>
      </c>
      <c r="F62">
        <v>14.7</v>
      </c>
      <c r="G62" t="s">
        <v>1304</v>
      </c>
      <c r="H62">
        <v>61</v>
      </c>
    </row>
    <row r="63" spans="1:8">
      <c r="A63" t="s">
        <v>1423</v>
      </c>
      <c r="B63" t="s">
        <v>126</v>
      </c>
      <c r="C63" t="s">
        <v>1310</v>
      </c>
      <c r="D63">
        <v>2025</v>
      </c>
      <c r="E63">
        <v>8.9</v>
      </c>
      <c r="F63">
        <v>11.3</v>
      </c>
      <c r="G63" t="s">
        <v>1303</v>
      </c>
      <c r="H63">
        <v>62</v>
      </c>
    </row>
    <row r="64" spans="1:8">
      <c r="A64" t="s">
        <v>1411</v>
      </c>
      <c r="B64" t="s">
        <v>1043</v>
      </c>
      <c r="C64" t="s">
        <v>1321</v>
      </c>
      <c r="D64">
        <v>2021</v>
      </c>
      <c r="E64">
        <v>8.9</v>
      </c>
      <c r="F64">
        <v>10.8</v>
      </c>
      <c r="G64" t="s">
        <v>1315</v>
      </c>
      <c r="H64">
        <v>63</v>
      </c>
    </row>
    <row r="65" spans="1:8">
      <c r="A65" t="s">
        <v>1410</v>
      </c>
      <c r="B65" t="s">
        <v>183</v>
      </c>
      <c r="C65" t="s">
        <v>1321</v>
      </c>
      <c r="D65">
        <v>2022</v>
      </c>
      <c r="E65">
        <v>8.9</v>
      </c>
      <c r="F65">
        <v>12.9</v>
      </c>
      <c r="G65" t="s">
        <v>1315</v>
      </c>
      <c r="H65">
        <v>64</v>
      </c>
    </row>
    <row r="66" spans="1:8">
      <c r="A66" t="s">
        <v>1397</v>
      </c>
      <c r="B66" t="s">
        <v>1046</v>
      </c>
      <c r="C66" t="s">
        <v>1321</v>
      </c>
      <c r="D66">
        <v>2024</v>
      </c>
      <c r="E66">
        <v>8.9</v>
      </c>
      <c r="F66">
        <v>20.2</v>
      </c>
      <c r="G66" t="s">
        <v>1304</v>
      </c>
      <c r="H66">
        <v>65</v>
      </c>
    </row>
    <row r="67" spans="1:8">
      <c r="A67" t="s">
        <v>1409</v>
      </c>
      <c r="B67" t="s">
        <v>1046</v>
      </c>
      <c r="C67" t="s">
        <v>1321</v>
      </c>
      <c r="D67">
        <v>2025</v>
      </c>
      <c r="E67">
        <v>8.9</v>
      </c>
      <c r="F67">
        <v>16.8</v>
      </c>
      <c r="G67" t="s">
        <v>1303</v>
      </c>
      <c r="H67">
        <v>66</v>
      </c>
    </row>
    <row r="68" spans="1:8">
      <c r="A68" t="s">
        <v>1408</v>
      </c>
      <c r="B68" t="s">
        <v>1046</v>
      </c>
      <c r="C68" t="s">
        <v>1321</v>
      </c>
      <c r="D68">
        <v>2026</v>
      </c>
      <c r="E68">
        <v>8.9</v>
      </c>
      <c r="F68">
        <v>18.2</v>
      </c>
      <c r="G68" t="s">
        <v>1303</v>
      </c>
      <c r="H68">
        <v>67</v>
      </c>
    </row>
    <row r="69" spans="1:8">
      <c r="A69" t="s">
        <v>1408</v>
      </c>
      <c r="B69" t="s">
        <v>1046</v>
      </c>
      <c r="C69" t="s">
        <v>1321</v>
      </c>
      <c r="D69">
        <v>2026</v>
      </c>
      <c r="E69">
        <v>8.9</v>
      </c>
      <c r="F69">
        <v>14.7</v>
      </c>
      <c r="G69" t="s">
        <v>1315</v>
      </c>
      <c r="H69">
        <v>68</v>
      </c>
    </row>
    <row r="70" spans="1:8">
      <c r="A70" t="s">
        <v>1422</v>
      </c>
      <c r="B70" t="s">
        <v>183</v>
      </c>
      <c r="C70" t="s">
        <v>1321</v>
      </c>
      <c r="D70">
        <v>2026</v>
      </c>
      <c r="E70">
        <v>8.9</v>
      </c>
      <c r="F70">
        <v>13.2</v>
      </c>
      <c r="G70" t="s">
        <v>1299</v>
      </c>
      <c r="H70">
        <v>69</v>
      </c>
    </row>
    <row r="71" spans="1:8">
      <c r="A71" t="s">
        <v>1402</v>
      </c>
      <c r="B71" t="s">
        <v>183</v>
      </c>
      <c r="C71" t="s">
        <v>1305</v>
      </c>
      <c r="D71">
        <v>2023</v>
      </c>
      <c r="E71">
        <v>8.8000000000000007</v>
      </c>
      <c r="F71">
        <v>15.3</v>
      </c>
      <c r="G71" t="s">
        <v>1304</v>
      </c>
      <c r="H71">
        <v>70</v>
      </c>
    </row>
    <row r="72" spans="1:8">
      <c r="A72" t="s">
        <v>1421</v>
      </c>
      <c r="B72" t="s">
        <v>57</v>
      </c>
      <c r="C72" t="s">
        <v>1305</v>
      </c>
      <c r="D72">
        <v>2025</v>
      </c>
      <c r="E72">
        <v>8.8000000000000007</v>
      </c>
      <c r="F72">
        <v>18</v>
      </c>
      <c r="G72" t="s">
        <v>1303</v>
      </c>
      <c r="H72">
        <v>71</v>
      </c>
    </row>
    <row r="73" spans="1:8">
      <c r="A73" t="s">
        <v>1421</v>
      </c>
      <c r="B73" t="s">
        <v>57</v>
      </c>
      <c r="C73" t="s">
        <v>1305</v>
      </c>
      <c r="D73">
        <v>2025</v>
      </c>
      <c r="E73">
        <v>8.8000000000000007</v>
      </c>
      <c r="F73">
        <v>11.5</v>
      </c>
      <c r="G73" t="s">
        <v>1299</v>
      </c>
      <c r="H73">
        <v>72</v>
      </c>
    </row>
    <row r="74" spans="1:8">
      <c r="A74" t="s">
        <v>1421</v>
      </c>
      <c r="B74" t="s">
        <v>57</v>
      </c>
      <c r="C74" t="s">
        <v>1305</v>
      </c>
      <c r="D74">
        <v>2025</v>
      </c>
      <c r="E74">
        <v>8.8000000000000007</v>
      </c>
      <c r="F74">
        <v>13.6</v>
      </c>
      <c r="G74" t="s">
        <v>1315</v>
      </c>
      <c r="H74">
        <v>73</v>
      </c>
    </row>
    <row r="75" spans="1:8">
      <c r="A75" t="s">
        <v>1396</v>
      </c>
      <c r="B75" t="s">
        <v>485</v>
      </c>
      <c r="C75" t="s">
        <v>1305</v>
      </c>
      <c r="D75">
        <v>2025</v>
      </c>
      <c r="E75">
        <v>8.8000000000000007</v>
      </c>
      <c r="F75">
        <v>17.5</v>
      </c>
      <c r="G75" t="s">
        <v>1304</v>
      </c>
      <c r="H75">
        <v>74</v>
      </c>
    </row>
    <row r="76" spans="1:8">
      <c r="A76" t="s">
        <v>1418</v>
      </c>
      <c r="B76" t="s">
        <v>57</v>
      </c>
      <c r="C76" t="s">
        <v>1305</v>
      </c>
      <c r="D76">
        <v>2026</v>
      </c>
      <c r="E76">
        <v>8.8000000000000007</v>
      </c>
      <c r="F76">
        <v>18.3</v>
      </c>
      <c r="G76" t="s">
        <v>1303</v>
      </c>
      <c r="H76">
        <v>75</v>
      </c>
    </row>
    <row r="77" spans="1:8">
      <c r="A77" t="s">
        <v>1400</v>
      </c>
      <c r="B77" t="s">
        <v>237</v>
      </c>
      <c r="C77" t="s">
        <v>1305</v>
      </c>
      <c r="D77">
        <v>2026</v>
      </c>
      <c r="E77">
        <v>8.8000000000000007</v>
      </c>
      <c r="F77">
        <v>15.4</v>
      </c>
      <c r="G77" t="s">
        <v>1304</v>
      </c>
      <c r="H77">
        <v>76</v>
      </c>
    </row>
    <row r="78" spans="1:8">
      <c r="A78" t="s">
        <v>1417</v>
      </c>
      <c r="B78" t="s">
        <v>183</v>
      </c>
      <c r="C78" t="s">
        <v>1300</v>
      </c>
      <c r="D78">
        <v>2022</v>
      </c>
      <c r="E78">
        <v>8.8000000000000007</v>
      </c>
      <c r="F78">
        <v>16.7</v>
      </c>
      <c r="G78" t="s">
        <v>1303</v>
      </c>
      <c r="H78">
        <v>77</v>
      </c>
    </row>
    <row r="79" spans="1:8">
      <c r="A79" t="s">
        <v>1399</v>
      </c>
      <c r="B79" t="s">
        <v>1280</v>
      </c>
      <c r="C79" t="s">
        <v>1300</v>
      </c>
      <c r="D79">
        <v>2022</v>
      </c>
      <c r="E79">
        <v>8.8000000000000007</v>
      </c>
      <c r="F79">
        <v>13.8</v>
      </c>
      <c r="G79" t="s">
        <v>1304</v>
      </c>
      <c r="H79">
        <v>78</v>
      </c>
    </row>
    <row r="80" spans="1:8">
      <c r="A80" t="s">
        <v>1407</v>
      </c>
      <c r="B80" t="s">
        <v>167</v>
      </c>
      <c r="C80" t="s">
        <v>1300</v>
      </c>
      <c r="D80">
        <v>2022</v>
      </c>
      <c r="E80">
        <v>8.8000000000000007</v>
      </c>
      <c r="F80">
        <v>12.7</v>
      </c>
      <c r="G80" t="s">
        <v>1304</v>
      </c>
      <c r="H80">
        <v>79</v>
      </c>
    </row>
    <row r="81" spans="1:8">
      <c r="A81" t="s">
        <v>1416</v>
      </c>
      <c r="B81" t="s">
        <v>183</v>
      </c>
      <c r="C81" t="s">
        <v>1300</v>
      </c>
      <c r="D81">
        <v>2023</v>
      </c>
      <c r="E81">
        <v>8.8000000000000007</v>
      </c>
      <c r="F81">
        <v>28.1</v>
      </c>
      <c r="G81" t="s">
        <v>1304</v>
      </c>
      <c r="H81">
        <v>80</v>
      </c>
    </row>
    <row r="82" spans="1:8">
      <c r="A82" t="s">
        <v>1415</v>
      </c>
      <c r="B82" t="s">
        <v>126</v>
      </c>
      <c r="C82" t="s">
        <v>1300</v>
      </c>
      <c r="D82">
        <v>2023</v>
      </c>
      <c r="E82">
        <v>8.8000000000000007</v>
      </c>
      <c r="F82">
        <v>7.5</v>
      </c>
      <c r="G82" t="s">
        <v>1315</v>
      </c>
      <c r="H82">
        <v>81</v>
      </c>
    </row>
    <row r="83" spans="1:8">
      <c r="A83" t="s">
        <v>1406</v>
      </c>
      <c r="B83" t="s">
        <v>1281</v>
      </c>
      <c r="C83" t="s">
        <v>1300</v>
      </c>
      <c r="D83">
        <v>2023</v>
      </c>
      <c r="E83">
        <v>8.8000000000000007</v>
      </c>
      <c r="F83">
        <v>13.9</v>
      </c>
      <c r="G83" t="s">
        <v>1304</v>
      </c>
      <c r="H83">
        <v>82</v>
      </c>
    </row>
    <row r="84" spans="1:8">
      <c r="A84" t="s">
        <v>1393</v>
      </c>
      <c r="B84" t="s">
        <v>237</v>
      </c>
      <c r="C84" t="s">
        <v>1300</v>
      </c>
      <c r="D84">
        <v>2023</v>
      </c>
      <c r="E84">
        <v>8.8000000000000007</v>
      </c>
      <c r="F84">
        <v>17</v>
      </c>
      <c r="G84" t="s">
        <v>1304</v>
      </c>
      <c r="H84">
        <v>83</v>
      </c>
    </row>
    <row r="85" spans="1:8">
      <c r="A85" t="s">
        <v>1393</v>
      </c>
      <c r="B85" t="s">
        <v>237</v>
      </c>
      <c r="C85" t="s">
        <v>1300</v>
      </c>
      <c r="D85">
        <v>2023</v>
      </c>
      <c r="E85">
        <v>8.8000000000000007</v>
      </c>
      <c r="F85">
        <v>11</v>
      </c>
      <c r="G85" t="s">
        <v>1315</v>
      </c>
      <c r="H85">
        <v>84</v>
      </c>
    </row>
    <row r="86" spans="1:8">
      <c r="A86" t="s">
        <v>1414</v>
      </c>
      <c r="B86" t="s">
        <v>183</v>
      </c>
      <c r="C86" t="s">
        <v>1300</v>
      </c>
      <c r="D86">
        <v>2024</v>
      </c>
      <c r="E86">
        <v>8.8000000000000007</v>
      </c>
      <c r="F86">
        <v>25.6</v>
      </c>
      <c r="G86" t="s">
        <v>1304</v>
      </c>
      <c r="H86">
        <v>85</v>
      </c>
    </row>
    <row r="87" spans="1:8">
      <c r="A87" t="s">
        <v>1414</v>
      </c>
      <c r="B87" t="s">
        <v>183</v>
      </c>
      <c r="C87" t="s">
        <v>1300</v>
      </c>
      <c r="D87">
        <v>2024</v>
      </c>
      <c r="E87">
        <v>8.8000000000000007</v>
      </c>
      <c r="F87">
        <v>16.3</v>
      </c>
      <c r="G87" t="s">
        <v>1315</v>
      </c>
      <c r="H87">
        <v>86</v>
      </c>
    </row>
    <row r="88" spans="1:8">
      <c r="A88" t="s">
        <v>601</v>
      </c>
      <c r="B88" t="s">
        <v>1046</v>
      </c>
      <c r="C88" t="s">
        <v>1300</v>
      </c>
      <c r="D88">
        <v>2024</v>
      </c>
      <c r="E88">
        <v>8.8000000000000007</v>
      </c>
      <c r="F88">
        <v>17</v>
      </c>
      <c r="G88" t="s">
        <v>1304</v>
      </c>
      <c r="H88">
        <v>87</v>
      </c>
    </row>
    <row r="89" spans="1:8">
      <c r="A89" t="s">
        <v>601</v>
      </c>
      <c r="B89" t="s">
        <v>1046</v>
      </c>
      <c r="C89" t="s">
        <v>1300</v>
      </c>
      <c r="D89">
        <v>2024</v>
      </c>
      <c r="E89">
        <v>8.8000000000000007</v>
      </c>
      <c r="F89">
        <v>10.4</v>
      </c>
      <c r="G89" t="s">
        <v>1315</v>
      </c>
      <c r="H89">
        <v>88</v>
      </c>
    </row>
    <row r="90" spans="1:8">
      <c r="A90" t="s">
        <v>1420</v>
      </c>
      <c r="B90" t="s">
        <v>1281</v>
      </c>
      <c r="C90" t="s">
        <v>1300</v>
      </c>
      <c r="D90">
        <v>2024</v>
      </c>
      <c r="E90">
        <v>8.8000000000000007</v>
      </c>
      <c r="F90">
        <v>9.8000000000000007</v>
      </c>
      <c r="G90" t="s">
        <v>1315</v>
      </c>
      <c r="H90">
        <v>89</v>
      </c>
    </row>
    <row r="91" spans="1:8">
      <c r="A91" t="s">
        <v>1420</v>
      </c>
      <c r="B91" t="s">
        <v>1281</v>
      </c>
      <c r="C91" t="s">
        <v>1300</v>
      </c>
      <c r="D91">
        <v>2024</v>
      </c>
      <c r="E91">
        <v>8.8000000000000007</v>
      </c>
      <c r="F91">
        <v>12.7</v>
      </c>
      <c r="G91" t="s">
        <v>1303</v>
      </c>
      <c r="H91">
        <v>90</v>
      </c>
    </row>
    <row r="92" spans="1:8">
      <c r="A92" t="s">
        <v>1419</v>
      </c>
      <c r="B92" t="s">
        <v>183</v>
      </c>
      <c r="C92" t="s">
        <v>1300</v>
      </c>
      <c r="D92">
        <v>2026</v>
      </c>
      <c r="E92">
        <v>8.8000000000000007</v>
      </c>
      <c r="F92">
        <v>16.100000000000001</v>
      </c>
      <c r="G92" t="s">
        <v>1299</v>
      </c>
      <c r="H92">
        <v>91</v>
      </c>
    </row>
    <row r="93" spans="1:8">
      <c r="A93" t="s">
        <v>1412</v>
      </c>
      <c r="B93" t="s">
        <v>126</v>
      </c>
      <c r="C93" t="s">
        <v>1310</v>
      </c>
      <c r="D93">
        <v>2021</v>
      </c>
      <c r="E93">
        <v>8.8000000000000007</v>
      </c>
      <c r="F93">
        <v>7.4</v>
      </c>
      <c r="G93" t="s">
        <v>1315</v>
      </c>
      <c r="H93">
        <v>92</v>
      </c>
    </row>
    <row r="94" spans="1:8">
      <c r="A94" t="s">
        <v>1411</v>
      </c>
      <c r="B94" t="s">
        <v>1043</v>
      </c>
      <c r="C94" t="s">
        <v>1321</v>
      </c>
      <c r="D94">
        <v>2021</v>
      </c>
      <c r="E94">
        <v>8.8000000000000007</v>
      </c>
      <c r="F94">
        <v>9.6</v>
      </c>
      <c r="G94" t="s">
        <v>1299</v>
      </c>
      <c r="H94">
        <v>93</v>
      </c>
    </row>
    <row r="95" spans="1:8">
      <c r="A95" t="s">
        <v>1410</v>
      </c>
      <c r="B95" t="s">
        <v>183</v>
      </c>
      <c r="C95" t="s">
        <v>1321</v>
      </c>
      <c r="D95">
        <v>2022</v>
      </c>
      <c r="E95">
        <v>8.8000000000000007</v>
      </c>
      <c r="F95">
        <v>17.2</v>
      </c>
      <c r="G95" t="s">
        <v>1303</v>
      </c>
      <c r="H95">
        <v>94</v>
      </c>
    </row>
    <row r="96" spans="1:8">
      <c r="A96" t="s">
        <v>1409</v>
      </c>
      <c r="B96" t="s">
        <v>1046</v>
      </c>
      <c r="C96" t="s">
        <v>1321</v>
      </c>
      <c r="D96">
        <v>2025</v>
      </c>
      <c r="E96">
        <v>8.8000000000000007</v>
      </c>
      <c r="F96">
        <v>14</v>
      </c>
      <c r="G96" t="s">
        <v>1315</v>
      </c>
      <c r="H96">
        <v>95</v>
      </c>
    </row>
    <row r="97" spans="1:8">
      <c r="A97" t="s">
        <v>1403</v>
      </c>
      <c r="B97" t="s">
        <v>1046</v>
      </c>
      <c r="C97" t="s">
        <v>1305</v>
      </c>
      <c r="D97">
        <v>2021</v>
      </c>
      <c r="E97">
        <v>8.6999999999999993</v>
      </c>
      <c r="F97">
        <v>6.5</v>
      </c>
      <c r="G97" t="s">
        <v>1315</v>
      </c>
      <c r="H97">
        <v>96</v>
      </c>
    </row>
    <row r="98" spans="1:8">
      <c r="A98" t="s">
        <v>1389</v>
      </c>
      <c r="B98" t="s">
        <v>237</v>
      </c>
      <c r="C98" t="s">
        <v>1305</v>
      </c>
      <c r="D98">
        <v>2024</v>
      </c>
      <c r="E98">
        <v>8.6999999999999993</v>
      </c>
      <c r="F98">
        <v>13.6</v>
      </c>
      <c r="G98" t="s">
        <v>1304</v>
      </c>
      <c r="H98">
        <v>97</v>
      </c>
    </row>
    <row r="99" spans="1:8">
      <c r="A99" t="s">
        <v>1389</v>
      </c>
      <c r="B99" t="s">
        <v>237</v>
      </c>
      <c r="C99" t="s">
        <v>1305</v>
      </c>
      <c r="D99">
        <v>2024</v>
      </c>
      <c r="E99">
        <v>8.6999999999999993</v>
      </c>
      <c r="F99">
        <v>8.4</v>
      </c>
      <c r="G99" t="s">
        <v>1315</v>
      </c>
      <c r="H99">
        <v>98</v>
      </c>
    </row>
    <row r="100" spans="1:8">
      <c r="A100" t="s">
        <v>1418</v>
      </c>
      <c r="B100" t="s">
        <v>57</v>
      </c>
      <c r="C100" t="s">
        <v>1305</v>
      </c>
      <c r="D100">
        <v>2026</v>
      </c>
      <c r="E100">
        <v>8.6999999999999993</v>
      </c>
      <c r="F100">
        <v>12.6</v>
      </c>
      <c r="G100" t="s">
        <v>1299</v>
      </c>
      <c r="H100">
        <v>99</v>
      </c>
    </row>
    <row r="101" spans="1:8">
      <c r="A101" t="s">
        <v>1400</v>
      </c>
      <c r="B101" t="s">
        <v>237</v>
      </c>
      <c r="C101" t="s">
        <v>1305</v>
      </c>
      <c r="D101">
        <v>2026</v>
      </c>
      <c r="E101">
        <v>8.6999999999999993</v>
      </c>
      <c r="F101">
        <v>12.3</v>
      </c>
      <c r="G101" t="s">
        <v>1303</v>
      </c>
      <c r="H101">
        <v>100</v>
      </c>
    </row>
    <row r="102" spans="1:8">
      <c r="A102" t="s">
        <v>1231</v>
      </c>
      <c r="B102" t="s">
        <v>1281</v>
      </c>
      <c r="C102" t="s">
        <v>1300</v>
      </c>
      <c r="D102">
        <v>2021</v>
      </c>
      <c r="E102">
        <v>8.6999999999999993</v>
      </c>
      <c r="F102">
        <v>8.4</v>
      </c>
      <c r="G102" t="s">
        <v>1304</v>
      </c>
      <c r="H102">
        <v>101</v>
      </c>
    </row>
    <row r="103" spans="1:8">
      <c r="A103" t="s">
        <v>1417</v>
      </c>
      <c r="B103" t="s">
        <v>183</v>
      </c>
      <c r="C103" t="s">
        <v>1300</v>
      </c>
      <c r="D103">
        <v>2022</v>
      </c>
      <c r="E103">
        <v>8.6999999999999993</v>
      </c>
      <c r="F103">
        <v>11.1</v>
      </c>
      <c r="G103" t="s">
        <v>1299</v>
      </c>
      <c r="H103">
        <v>102</v>
      </c>
    </row>
    <row r="104" spans="1:8">
      <c r="A104" t="s">
        <v>1395</v>
      </c>
      <c r="B104" t="s">
        <v>1046</v>
      </c>
      <c r="C104" t="s">
        <v>1300</v>
      </c>
      <c r="D104">
        <v>2022</v>
      </c>
      <c r="E104">
        <v>8.6999999999999993</v>
      </c>
      <c r="F104">
        <v>10.5</v>
      </c>
      <c r="G104" t="s">
        <v>1304</v>
      </c>
      <c r="H104">
        <v>103</v>
      </c>
    </row>
    <row r="105" spans="1:8">
      <c r="A105" t="s">
        <v>1407</v>
      </c>
      <c r="B105" t="s">
        <v>167</v>
      </c>
      <c r="C105" t="s">
        <v>1300</v>
      </c>
      <c r="D105">
        <v>2022</v>
      </c>
      <c r="E105">
        <v>8.6999999999999993</v>
      </c>
      <c r="F105">
        <v>7.6</v>
      </c>
      <c r="G105" t="s">
        <v>1315</v>
      </c>
      <c r="H105">
        <v>104</v>
      </c>
    </row>
    <row r="106" spans="1:8">
      <c r="A106" t="s">
        <v>1416</v>
      </c>
      <c r="B106" t="s">
        <v>183</v>
      </c>
      <c r="C106" t="s">
        <v>1300</v>
      </c>
      <c r="D106">
        <v>2023</v>
      </c>
      <c r="E106">
        <v>8.6999999999999993</v>
      </c>
      <c r="F106">
        <v>21.2</v>
      </c>
      <c r="G106" t="s">
        <v>1303</v>
      </c>
      <c r="H106">
        <v>105</v>
      </c>
    </row>
    <row r="107" spans="1:8">
      <c r="A107" t="s">
        <v>1416</v>
      </c>
      <c r="B107" t="s">
        <v>183</v>
      </c>
      <c r="C107" t="s">
        <v>1300</v>
      </c>
      <c r="D107">
        <v>2023</v>
      </c>
      <c r="E107">
        <v>8.6999999999999993</v>
      </c>
      <c r="F107">
        <v>14</v>
      </c>
      <c r="G107" t="s">
        <v>1299</v>
      </c>
      <c r="H107">
        <v>106</v>
      </c>
    </row>
    <row r="108" spans="1:8">
      <c r="A108" t="s">
        <v>1415</v>
      </c>
      <c r="B108" t="s">
        <v>126</v>
      </c>
      <c r="C108" t="s">
        <v>1300</v>
      </c>
      <c r="D108">
        <v>2023</v>
      </c>
      <c r="E108">
        <v>8.6999999999999993</v>
      </c>
      <c r="F108">
        <v>9.3000000000000007</v>
      </c>
      <c r="G108" t="s">
        <v>1303</v>
      </c>
      <c r="H108">
        <v>107</v>
      </c>
    </row>
    <row r="109" spans="1:8">
      <c r="A109" t="s">
        <v>1406</v>
      </c>
      <c r="B109" t="s">
        <v>1281</v>
      </c>
      <c r="C109" t="s">
        <v>1300</v>
      </c>
      <c r="D109">
        <v>2023</v>
      </c>
      <c r="E109">
        <v>8.6999999999999993</v>
      </c>
      <c r="F109">
        <v>9.4</v>
      </c>
      <c r="G109" t="s">
        <v>1315</v>
      </c>
      <c r="H109">
        <v>108</v>
      </c>
    </row>
    <row r="110" spans="1:8">
      <c r="A110" t="s">
        <v>1414</v>
      </c>
      <c r="B110" t="s">
        <v>183</v>
      </c>
      <c r="C110" t="s">
        <v>1300</v>
      </c>
      <c r="D110">
        <v>2024</v>
      </c>
      <c r="E110">
        <v>8.6999999999999993</v>
      </c>
      <c r="F110">
        <v>19.399999999999999</v>
      </c>
      <c r="G110" t="s">
        <v>1303</v>
      </c>
      <c r="H110">
        <v>109</v>
      </c>
    </row>
    <row r="111" spans="1:8">
      <c r="A111" t="s">
        <v>1414</v>
      </c>
      <c r="B111" t="s">
        <v>183</v>
      </c>
      <c r="C111" t="s">
        <v>1300</v>
      </c>
      <c r="D111">
        <v>2024</v>
      </c>
      <c r="E111">
        <v>8.6999999999999993</v>
      </c>
      <c r="F111">
        <v>12.9</v>
      </c>
      <c r="G111" t="s">
        <v>1299</v>
      </c>
      <c r="H111">
        <v>110</v>
      </c>
    </row>
    <row r="112" spans="1:8">
      <c r="A112" t="s">
        <v>1405</v>
      </c>
      <c r="B112" t="s">
        <v>126</v>
      </c>
      <c r="C112" t="s">
        <v>1300</v>
      </c>
      <c r="D112">
        <v>2024</v>
      </c>
      <c r="E112">
        <v>8.6999999999999993</v>
      </c>
      <c r="F112">
        <v>6.3</v>
      </c>
      <c r="G112" t="s">
        <v>1315</v>
      </c>
      <c r="H112">
        <v>111</v>
      </c>
    </row>
    <row r="113" spans="1:8">
      <c r="A113" t="s">
        <v>1413</v>
      </c>
      <c r="B113" t="s">
        <v>183</v>
      </c>
      <c r="C113" t="s">
        <v>1300</v>
      </c>
      <c r="D113">
        <v>2025</v>
      </c>
      <c r="E113">
        <v>8.6999999999999993</v>
      </c>
      <c r="F113">
        <v>14.5</v>
      </c>
      <c r="G113" t="s">
        <v>1299</v>
      </c>
      <c r="H113">
        <v>112</v>
      </c>
    </row>
    <row r="114" spans="1:8">
      <c r="A114" t="s">
        <v>1398</v>
      </c>
      <c r="B114" t="s">
        <v>57</v>
      </c>
      <c r="C114" t="s">
        <v>1300</v>
      </c>
      <c r="D114">
        <v>2025</v>
      </c>
      <c r="E114">
        <v>8.6999999999999993</v>
      </c>
      <c r="F114">
        <v>15.9</v>
      </c>
      <c r="G114" t="s">
        <v>1304</v>
      </c>
      <c r="H114">
        <v>113</v>
      </c>
    </row>
    <row r="115" spans="1:8">
      <c r="A115" t="s">
        <v>1398</v>
      </c>
      <c r="B115" t="s">
        <v>57</v>
      </c>
      <c r="C115" t="s">
        <v>1300</v>
      </c>
      <c r="D115">
        <v>2025</v>
      </c>
      <c r="E115">
        <v>8.6999999999999993</v>
      </c>
      <c r="F115">
        <v>10.199999999999999</v>
      </c>
      <c r="G115" t="s">
        <v>1315</v>
      </c>
      <c r="H115">
        <v>114</v>
      </c>
    </row>
    <row r="116" spans="1:8">
      <c r="A116" t="s">
        <v>1404</v>
      </c>
      <c r="B116" t="s">
        <v>183</v>
      </c>
      <c r="C116" t="s">
        <v>1300</v>
      </c>
      <c r="D116">
        <v>2026</v>
      </c>
      <c r="E116">
        <v>8.6999999999999993</v>
      </c>
      <c r="F116">
        <v>20.3</v>
      </c>
      <c r="G116" t="s">
        <v>1303</v>
      </c>
      <c r="H116">
        <v>115</v>
      </c>
    </row>
    <row r="117" spans="1:8">
      <c r="A117" t="s">
        <v>1412</v>
      </c>
      <c r="B117" t="s">
        <v>126</v>
      </c>
      <c r="C117" t="s">
        <v>1310</v>
      </c>
      <c r="D117">
        <v>2021</v>
      </c>
      <c r="E117">
        <v>8.6999999999999993</v>
      </c>
      <c r="F117">
        <v>10.9</v>
      </c>
      <c r="G117" t="s">
        <v>1304</v>
      </c>
      <c r="H117">
        <v>116</v>
      </c>
    </row>
    <row r="118" spans="1:8">
      <c r="A118" t="s">
        <v>1412</v>
      </c>
      <c r="B118" t="s">
        <v>126</v>
      </c>
      <c r="C118" t="s">
        <v>1310</v>
      </c>
      <c r="D118">
        <v>2021</v>
      </c>
      <c r="E118">
        <v>8.6999999999999993</v>
      </c>
      <c r="F118">
        <v>9.3000000000000007</v>
      </c>
      <c r="G118" t="s">
        <v>1303</v>
      </c>
      <c r="H118">
        <v>117</v>
      </c>
    </row>
    <row r="119" spans="1:8">
      <c r="A119" t="s">
        <v>1391</v>
      </c>
      <c r="B119" t="s">
        <v>237</v>
      </c>
      <c r="C119" t="s">
        <v>1310</v>
      </c>
      <c r="D119">
        <v>2023</v>
      </c>
      <c r="E119">
        <v>8.6999999999999993</v>
      </c>
      <c r="F119">
        <v>8.5</v>
      </c>
      <c r="G119" t="s">
        <v>1315</v>
      </c>
      <c r="H119">
        <v>118</v>
      </c>
    </row>
    <row r="120" spans="1:8">
      <c r="A120" t="s">
        <v>1411</v>
      </c>
      <c r="B120" t="s">
        <v>1043</v>
      </c>
      <c r="C120" t="s">
        <v>1321</v>
      </c>
      <c r="D120">
        <v>2021</v>
      </c>
      <c r="E120">
        <v>8.6999999999999993</v>
      </c>
      <c r="F120">
        <v>14</v>
      </c>
      <c r="G120" t="s">
        <v>1303</v>
      </c>
      <c r="H120">
        <v>119</v>
      </c>
    </row>
    <row r="121" spans="1:8">
      <c r="A121" t="s">
        <v>1410</v>
      </c>
      <c r="B121" t="s">
        <v>183</v>
      </c>
      <c r="C121" t="s">
        <v>1321</v>
      </c>
      <c r="D121">
        <v>2022</v>
      </c>
      <c r="E121">
        <v>8.6999999999999993</v>
      </c>
      <c r="F121">
        <v>11.6</v>
      </c>
      <c r="G121" t="s">
        <v>1299</v>
      </c>
      <c r="H121">
        <v>120</v>
      </c>
    </row>
    <row r="122" spans="1:8">
      <c r="A122" t="s">
        <v>1409</v>
      </c>
      <c r="B122" t="s">
        <v>1046</v>
      </c>
      <c r="C122" t="s">
        <v>1321</v>
      </c>
      <c r="D122">
        <v>2025</v>
      </c>
      <c r="E122">
        <v>8.6999999999999993</v>
      </c>
      <c r="F122">
        <v>11</v>
      </c>
      <c r="G122" t="s">
        <v>1299</v>
      </c>
      <c r="H122">
        <v>121</v>
      </c>
    </row>
    <row r="123" spans="1:8">
      <c r="A123" t="s">
        <v>1408</v>
      </c>
      <c r="B123" t="s">
        <v>1046</v>
      </c>
      <c r="C123" t="s">
        <v>1321</v>
      </c>
      <c r="D123">
        <v>2026</v>
      </c>
      <c r="E123">
        <v>8.6999999999999993</v>
      </c>
      <c r="F123">
        <v>11.3</v>
      </c>
      <c r="G123" t="s">
        <v>1299</v>
      </c>
      <c r="H123">
        <v>122</v>
      </c>
    </row>
    <row r="124" spans="1:8">
      <c r="A124" t="s">
        <v>1403</v>
      </c>
      <c r="B124" t="s">
        <v>1046</v>
      </c>
      <c r="C124" t="s">
        <v>1305</v>
      </c>
      <c r="D124">
        <v>2021</v>
      </c>
      <c r="E124">
        <v>8.6</v>
      </c>
      <c r="F124">
        <v>10</v>
      </c>
      <c r="G124" t="s">
        <v>1304</v>
      </c>
      <c r="H124">
        <v>123</v>
      </c>
    </row>
    <row r="125" spans="1:8">
      <c r="A125" t="s">
        <v>1390</v>
      </c>
      <c r="B125" t="s">
        <v>485</v>
      </c>
      <c r="C125" t="s">
        <v>1305</v>
      </c>
      <c r="D125">
        <v>2022</v>
      </c>
      <c r="E125">
        <v>8.6</v>
      </c>
      <c r="F125">
        <v>16.399999999999999</v>
      </c>
      <c r="G125" t="s">
        <v>1304</v>
      </c>
      <c r="H125">
        <v>124</v>
      </c>
    </row>
    <row r="126" spans="1:8">
      <c r="A126" t="s">
        <v>1402</v>
      </c>
      <c r="B126" t="s">
        <v>183</v>
      </c>
      <c r="C126" t="s">
        <v>1305</v>
      </c>
      <c r="D126">
        <v>2023</v>
      </c>
      <c r="E126">
        <v>8.6</v>
      </c>
      <c r="F126">
        <v>8.1999999999999993</v>
      </c>
      <c r="G126" t="s">
        <v>1299</v>
      </c>
      <c r="H126">
        <v>125</v>
      </c>
    </row>
    <row r="127" spans="1:8">
      <c r="A127" t="s">
        <v>1401</v>
      </c>
      <c r="B127" t="s">
        <v>183</v>
      </c>
      <c r="C127" t="s">
        <v>1305</v>
      </c>
      <c r="D127">
        <v>2026</v>
      </c>
      <c r="E127">
        <v>8.6</v>
      </c>
      <c r="F127">
        <v>20.7</v>
      </c>
      <c r="G127" t="s">
        <v>1304</v>
      </c>
      <c r="H127">
        <v>126</v>
      </c>
    </row>
    <row r="128" spans="1:8">
      <c r="A128" t="s">
        <v>1401</v>
      </c>
      <c r="B128" t="s">
        <v>183</v>
      </c>
      <c r="C128" t="s">
        <v>1305</v>
      </c>
      <c r="D128">
        <v>2026</v>
      </c>
      <c r="E128">
        <v>8.6</v>
      </c>
      <c r="F128">
        <v>16</v>
      </c>
      <c r="G128" t="s">
        <v>1303</v>
      </c>
      <c r="H128">
        <v>127</v>
      </c>
    </row>
    <row r="129" spans="1:8">
      <c r="A129" t="s">
        <v>1401</v>
      </c>
      <c r="B129" t="s">
        <v>183</v>
      </c>
      <c r="C129" t="s">
        <v>1305</v>
      </c>
      <c r="D129">
        <v>2026</v>
      </c>
      <c r="E129">
        <v>8.6</v>
      </c>
      <c r="F129">
        <v>13.4</v>
      </c>
      <c r="G129" t="s">
        <v>1315</v>
      </c>
      <c r="H129">
        <v>128</v>
      </c>
    </row>
    <row r="130" spans="1:8">
      <c r="A130" t="s">
        <v>1384</v>
      </c>
      <c r="B130" t="s">
        <v>183</v>
      </c>
      <c r="C130" t="s">
        <v>1300</v>
      </c>
      <c r="D130">
        <v>2021</v>
      </c>
      <c r="E130">
        <v>8.6</v>
      </c>
      <c r="F130">
        <v>24.5</v>
      </c>
      <c r="G130" t="s">
        <v>1304</v>
      </c>
      <c r="H130">
        <v>129</v>
      </c>
    </row>
    <row r="131" spans="1:8">
      <c r="A131" t="s">
        <v>1374</v>
      </c>
      <c r="B131" t="s">
        <v>183</v>
      </c>
      <c r="C131" t="s">
        <v>1300</v>
      </c>
      <c r="D131">
        <v>2022</v>
      </c>
      <c r="E131">
        <v>8.6</v>
      </c>
      <c r="F131">
        <v>18.600000000000001</v>
      </c>
      <c r="G131" t="s">
        <v>1304</v>
      </c>
      <c r="H131">
        <v>130</v>
      </c>
    </row>
    <row r="132" spans="1:8">
      <c r="A132" t="s">
        <v>1394</v>
      </c>
      <c r="B132" t="s">
        <v>1281</v>
      </c>
      <c r="C132" t="s">
        <v>1300</v>
      </c>
      <c r="D132">
        <v>2022</v>
      </c>
      <c r="E132">
        <v>8.6</v>
      </c>
      <c r="F132">
        <v>10.199999999999999</v>
      </c>
      <c r="G132" t="s">
        <v>1304</v>
      </c>
      <c r="H132">
        <v>131</v>
      </c>
    </row>
    <row r="133" spans="1:8">
      <c r="A133" t="s">
        <v>1394</v>
      </c>
      <c r="B133" t="s">
        <v>1281</v>
      </c>
      <c r="C133" t="s">
        <v>1300</v>
      </c>
      <c r="D133">
        <v>2022</v>
      </c>
      <c r="E133">
        <v>8.6</v>
      </c>
      <c r="F133">
        <v>5.5</v>
      </c>
      <c r="G133" t="s">
        <v>1315</v>
      </c>
      <c r="H133">
        <v>132</v>
      </c>
    </row>
    <row r="134" spans="1:8">
      <c r="A134" t="s">
        <v>1407</v>
      </c>
      <c r="B134" t="s">
        <v>167</v>
      </c>
      <c r="C134" t="s">
        <v>1300</v>
      </c>
      <c r="D134">
        <v>2022</v>
      </c>
      <c r="E134">
        <v>8.6</v>
      </c>
      <c r="F134">
        <v>9.6</v>
      </c>
      <c r="G134" t="s">
        <v>1303</v>
      </c>
      <c r="H134">
        <v>133</v>
      </c>
    </row>
    <row r="135" spans="1:8">
      <c r="A135" t="s">
        <v>1406</v>
      </c>
      <c r="B135" t="s">
        <v>1281</v>
      </c>
      <c r="C135" t="s">
        <v>1300</v>
      </c>
      <c r="D135">
        <v>2023</v>
      </c>
      <c r="E135">
        <v>8.6</v>
      </c>
      <c r="F135">
        <v>11.2</v>
      </c>
      <c r="G135" t="s">
        <v>1303</v>
      </c>
      <c r="H135">
        <v>134</v>
      </c>
    </row>
    <row r="136" spans="1:8">
      <c r="A136" t="s">
        <v>601</v>
      </c>
      <c r="B136" t="s">
        <v>1046</v>
      </c>
      <c r="C136" t="s">
        <v>1300</v>
      </c>
      <c r="D136">
        <v>2024</v>
      </c>
      <c r="E136">
        <v>8.6</v>
      </c>
      <c r="F136">
        <v>13.6</v>
      </c>
      <c r="G136" t="s">
        <v>1303</v>
      </c>
      <c r="H136">
        <v>135</v>
      </c>
    </row>
    <row r="137" spans="1:8">
      <c r="A137" t="s">
        <v>1405</v>
      </c>
      <c r="B137" t="s">
        <v>126</v>
      </c>
      <c r="C137" t="s">
        <v>1300</v>
      </c>
      <c r="D137">
        <v>2024</v>
      </c>
      <c r="E137">
        <v>8.6</v>
      </c>
      <c r="F137">
        <v>10.1</v>
      </c>
      <c r="G137" t="s">
        <v>1304</v>
      </c>
      <c r="H137">
        <v>136</v>
      </c>
    </row>
    <row r="138" spans="1:8">
      <c r="A138" t="s">
        <v>1386</v>
      </c>
      <c r="B138" t="s">
        <v>183</v>
      </c>
      <c r="C138" t="s">
        <v>1300</v>
      </c>
      <c r="D138">
        <v>2025</v>
      </c>
      <c r="E138">
        <v>8.6</v>
      </c>
      <c r="F138">
        <v>24</v>
      </c>
      <c r="G138" t="s">
        <v>1304</v>
      </c>
      <c r="H138">
        <v>137</v>
      </c>
    </row>
    <row r="139" spans="1:8">
      <c r="A139" t="s">
        <v>1386</v>
      </c>
      <c r="B139" t="s">
        <v>183</v>
      </c>
      <c r="C139" t="s">
        <v>1300</v>
      </c>
      <c r="D139">
        <v>2025</v>
      </c>
      <c r="E139">
        <v>8.6</v>
      </c>
      <c r="F139">
        <v>19</v>
      </c>
      <c r="G139" t="s">
        <v>1303</v>
      </c>
      <c r="H139">
        <v>138</v>
      </c>
    </row>
    <row r="140" spans="1:8">
      <c r="A140" t="s">
        <v>1404</v>
      </c>
      <c r="B140" t="s">
        <v>183</v>
      </c>
      <c r="C140" t="s">
        <v>1300</v>
      </c>
      <c r="D140">
        <v>2026</v>
      </c>
      <c r="E140">
        <v>8.6</v>
      </c>
      <c r="F140">
        <v>14.4</v>
      </c>
      <c r="G140" t="s">
        <v>1299</v>
      </c>
      <c r="H140">
        <v>139</v>
      </c>
    </row>
    <row r="141" spans="1:8">
      <c r="A141" t="s">
        <v>1392</v>
      </c>
      <c r="B141" t="s">
        <v>1043</v>
      </c>
      <c r="C141" t="s">
        <v>1310</v>
      </c>
      <c r="D141">
        <v>2021</v>
      </c>
      <c r="E141">
        <v>8.6</v>
      </c>
      <c r="F141">
        <v>9.4</v>
      </c>
      <c r="G141" t="s">
        <v>1304</v>
      </c>
      <c r="H141">
        <v>140</v>
      </c>
    </row>
    <row r="142" spans="1:8">
      <c r="A142" t="s">
        <v>1391</v>
      </c>
      <c r="B142" t="s">
        <v>237</v>
      </c>
      <c r="C142" t="s">
        <v>1310</v>
      </c>
      <c r="D142">
        <v>2023</v>
      </c>
      <c r="E142">
        <v>8.6</v>
      </c>
      <c r="F142">
        <v>11.1</v>
      </c>
      <c r="G142" t="s">
        <v>1303</v>
      </c>
      <c r="H142">
        <v>141</v>
      </c>
    </row>
    <row r="143" spans="1:8">
      <c r="A143" t="s">
        <v>1378</v>
      </c>
      <c r="B143" t="s">
        <v>167</v>
      </c>
      <c r="C143" t="s">
        <v>1321</v>
      </c>
      <c r="D143">
        <v>2022</v>
      </c>
      <c r="E143">
        <v>8.6</v>
      </c>
      <c r="F143">
        <v>17.8</v>
      </c>
      <c r="G143" t="s">
        <v>1304</v>
      </c>
      <c r="H143">
        <v>142</v>
      </c>
    </row>
    <row r="144" spans="1:8">
      <c r="A144" t="s">
        <v>1397</v>
      </c>
      <c r="B144" t="s">
        <v>1046</v>
      </c>
      <c r="C144" t="s">
        <v>1321</v>
      </c>
      <c r="D144">
        <v>2024</v>
      </c>
      <c r="E144">
        <v>8.6</v>
      </c>
      <c r="F144">
        <v>12</v>
      </c>
      <c r="G144" t="s">
        <v>1315</v>
      </c>
      <c r="H144">
        <v>143</v>
      </c>
    </row>
    <row r="145" spans="1:8">
      <c r="A145" t="s">
        <v>1403</v>
      </c>
      <c r="B145" t="s">
        <v>1046</v>
      </c>
      <c r="C145" t="s">
        <v>1305</v>
      </c>
      <c r="D145">
        <v>2021</v>
      </c>
      <c r="E145">
        <v>8.5</v>
      </c>
      <c r="F145">
        <v>8.6</v>
      </c>
      <c r="G145" t="s">
        <v>1303</v>
      </c>
      <c r="H145">
        <v>144</v>
      </c>
    </row>
    <row r="146" spans="1:8">
      <c r="A146" t="s">
        <v>1402</v>
      </c>
      <c r="B146" t="s">
        <v>183</v>
      </c>
      <c r="C146" t="s">
        <v>1305</v>
      </c>
      <c r="D146">
        <v>2023</v>
      </c>
      <c r="E146">
        <v>8.5</v>
      </c>
      <c r="F146">
        <v>11.5</v>
      </c>
      <c r="G146" t="s">
        <v>1303</v>
      </c>
      <c r="H146">
        <v>145</v>
      </c>
    </row>
    <row r="147" spans="1:8">
      <c r="A147" t="s">
        <v>281</v>
      </c>
      <c r="B147" t="s">
        <v>183</v>
      </c>
      <c r="C147" t="s">
        <v>1305</v>
      </c>
      <c r="D147">
        <v>2024</v>
      </c>
      <c r="E147">
        <v>8.5</v>
      </c>
      <c r="F147">
        <v>16.600000000000001</v>
      </c>
      <c r="G147" t="s">
        <v>1304</v>
      </c>
      <c r="H147">
        <v>146</v>
      </c>
    </row>
    <row r="148" spans="1:8">
      <c r="A148" t="s">
        <v>798</v>
      </c>
      <c r="B148" t="s">
        <v>485</v>
      </c>
      <c r="C148" t="s">
        <v>1305</v>
      </c>
      <c r="D148">
        <v>2024</v>
      </c>
      <c r="E148">
        <v>8.5</v>
      </c>
      <c r="F148">
        <v>16.2</v>
      </c>
      <c r="G148" t="s">
        <v>1304</v>
      </c>
      <c r="H148">
        <v>147</v>
      </c>
    </row>
    <row r="149" spans="1:8">
      <c r="A149" t="s">
        <v>1389</v>
      </c>
      <c r="B149" t="s">
        <v>237</v>
      </c>
      <c r="C149" t="s">
        <v>1305</v>
      </c>
      <c r="D149">
        <v>2024</v>
      </c>
      <c r="E149">
        <v>8.5</v>
      </c>
      <c r="F149">
        <v>10.4</v>
      </c>
      <c r="G149" t="s">
        <v>1303</v>
      </c>
      <c r="H149">
        <v>148</v>
      </c>
    </row>
    <row r="150" spans="1:8">
      <c r="A150" t="s">
        <v>1388</v>
      </c>
      <c r="B150" t="s">
        <v>183</v>
      </c>
      <c r="C150" t="s">
        <v>1305</v>
      </c>
      <c r="D150">
        <v>2025</v>
      </c>
      <c r="E150">
        <v>8.5</v>
      </c>
      <c r="F150">
        <v>18.3</v>
      </c>
      <c r="G150" t="s">
        <v>1304</v>
      </c>
      <c r="H150">
        <v>149</v>
      </c>
    </row>
    <row r="151" spans="1:8">
      <c r="A151" t="s">
        <v>1388</v>
      </c>
      <c r="B151" t="s">
        <v>183</v>
      </c>
      <c r="C151" t="s">
        <v>1305</v>
      </c>
      <c r="D151">
        <v>2025</v>
      </c>
      <c r="E151">
        <v>8.5</v>
      </c>
      <c r="F151">
        <v>14.1</v>
      </c>
      <c r="G151" t="s">
        <v>1303</v>
      </c>
      <c r="H151">
        <v>150</v>
      </c>
    </row>
    <row r="152" spans="1:8">
      <c r="A152" t="s">
        <v>1396</v>
      </c>
      <c r="B152" t="s">
        <v>485</v>
      </c>
      <c r="C152" t="s">
        <v>1305</v>
      </c>
      <c r="D152">
        <v>2025</v>
      </c>
      <c r="E152">
        <v>8.5</v>
      </c>
      <c r="F152">
        <v>9.5</v>
      </c>
      <c r="G152" t="s">
        <v>1299</v>
      </c>
      <c r="H152">
        <v>151</v>
      </c>
    </row>
    <row r="153" spans="1:8">
      <c r="A153" t="s">
        <v>1401</v>
      </c>
      <c r="B153" t="s">
        <v>183</v>
      </c>
      <c r="C153" t="s">
        <v>1305</v>
      </c>
      <c r="D153">
        <v>2026</v>
      </c>
      <c r="E153">
        <v>8.5</v>
      </c>
      <c r="F153">
        <v>11.4</v>
      </c>
      <c r="G153" t="s">
        <v>1299</v>
      </c>
      <c r="H153">
        <v>152</v>
      </c>
    </row>
    <row r="154" spans="1:8">
      <c r="A154" t="s">
        <v>1400</v>
      </c>
      <c r="B154" t="s">
        <v>237</v>
      </c>
      <c r="C154" t="s">
        <v>1305</v>
      </c>
      <c r="D154">
        <v>2026</v>
      </c>
      <c r="E154">
        <v>8.5</v>
      </c>
      <c r="F154">
        <v>8.4</v>
      </c>
      <c r="G154" t="s">
        <v>1299</v>
      </c>
      <c r="H154">
        <v>153</v>
      </c>
    </row>
    <row r="155" spans="1:8">
      <c r="A155" t="s">
        <v>1384</v>
      </c>
      <c r="B155" t="s">
        <v>183</v>
      </c>
      <c r="C155" t="s">
        <v>1300</v>
      </c>
      <c r="D155">
        <v>2021</v>
      </c>
      <c r="E155">
        <v>8.5</v>
      </c>
      <c r="F155">
        <v>15</v>
      </c>
      <c r="G155" t="s">
        <v>1315</v>
      </c>
      <c r="H155">
        <v>154</v>
      </c>
    </row>
    <row r="156" spans="1:8">
      <c r="A156" t="s">
        <v>1399</v>
      </c>
      <c r="B156" t="s">
        <v>1280</v>
      </c>
      <c r="C156" t="s">
        <v>1300</v>
      </c>
      <c r="D156">
        <v>2022</v>
      </c>
      <c r="E156">
        <v>8.5</v>
      </c>
      <c r="F156">
        <v>10.9</v>
      </c>
      <c r="G156" t="s">
        <v>1303</v>
      </c>
      <c r="H156">
        <v>155</v>
      </c>
    </row>
    <row r="157" spans="1:8">
      <c r="A157" t="s">
        <v>1399</v>
      </c>
      <c r="B157" t="s">
        <v>1280</v>
      </c>
      <c r="C157" t="s">
        <v>1300</v>
      </c>
      <c r="D157">
        <v>2022</v>
      </c>
      <c r="E157">
        <v>8.5</v>
      </c>
      <c r="F157">
        <v>9</v>
      </c>
      <c r="G157" t="s">
        <v>1315</v>
      </c>
      <c r="H157">
        <v>156</v>
      </c>
    </row>
    <row r="158" spans="1:8">
      <c r="A158" t="s">
        <v>1395</v>
      </c>
      <c r="B158" t="s">
        <v>1046</v>
      </c>
      <c r="C158" t="s">
        <v>1300</v>
      </c>
      <c r="D158">
        <v>2022</v>
      </c>
      <c r="E158">
        <v>8.5</v>
      </c>
      <c r="F158">
        <v>6.7</v>
      </c>
      <c r="G158" t="s">
        <v>1315</v>
      </c>
      <c r="H158">
        <v>157</v>
      </c>
    </row>
    <row r="159" spans="1:8">
      <c r="A159" t="s">
        <v>1383</v>
      </c>
      <c r="B159" t="s">
        <v>1280</v>
      </c>
      <c r="C159" t="s">
        <v>1300</v>
      </c>
      <c r="D159">
        <v>2023</v>
      </c>
      <c r="E159">
        <v>8.5</v>
      </c>
      <c r="F159">
        <v>7.7</v>
      </c>
      <c r="G159" t="s">
        <v>1304</v>
      </c>
      <c r="H159">
        <v>158</v>
      </c>
    </row>
    <row r="160" spans="1:8">
      <c r="A160" t="s">
        <v>1393</v>
      </c>
      <c r="B160" t="s">
        <v>237</v>
      </c>
      <c r="C160" t="s">
        <v>1300</v>
      </c>
      <c r="D160">
        <v>2023</v>
      </c>
      <c r="E160">
        <v>8.5</v>
      </c>
      <c r="F160">
        <v>12.4</v>
      </c>
      <c r="G160" t="s">
        <v>1303</v>
      </c>
      <c r="H160">
        <v>159</v>
      </c>
    </row>
    <row r="161" spans="1:8">
      <c r="A161" t="s">
        <v>1387</v>
      </c>
      <c r="B161" t="s">
        <v>57</v>
      </c>
      <c r="C161" t="s">
        <v>1300</v>
      </c>
      <c r="D161">
        <v>2024</v>
      </c>
      <c r="E161">
        <v>8.5</v>
      </c>
      <c r="F161">
        <v>8.1999999999999993</v>
      </c>
      <c r="G161" t="s">
        <v>1315</v>
      </c>
      <c r="H161">
        <v>160</v>
      </c>
    </row>
    <row r="162" spans="1:8">
      <c r="A162" t="s">
        <v>1381</v>
      </c>
      <c r="B162" t="s">
        <v>167</v>
      </c>
      <c r="C162" t="s">
        <v>1300</v>
      </c>
      <c r="D162">
        <v>2024</v>
      </c>
      <c r="E162">
        <v>8.5</v>
      </c>
      <c r="F162">
        <v>14.8</v>
      </c>
      <c r="G162" t="s">
        <v>1304</v>
      </c>
      <c r="H162">
        <v>161</v>
      </c>
    </row>
    <row r="163" spans="1:8">
      <c r="A163" t="s">
        <v>1398</v>
      </c>
      <c r="B163" t="s">
        <v>57</v>
      </c>
      <c r="C163" t="s">
        <v>1300</v>
      </c>
      <c r="D163">
        <v>2025</v>
      </c>
      <c r="E163">
        <v>8.5</v>
      </c>
      <c r="F163">
        <v>12.6</v>
      </c>
      <c r="G163" t="s">
        <v>1303</v>
      </c>
      <c r="H163">
        <v>162</v>
      </c>
    </row>
    <row r="164" spans="1:8">
      <c r="A164" t="s">
        <v>1392</v>
      </c>
      <c r="B164" t="s">
        <v>1043</v>
      </c>
      <c r="C164" t="s">
        <v>1310</v>
      </c>
      <c r="D164">
        <v>2021</v>
      </c>
      <c r="E164">
        <v>8.5</v>
      </c>
      <c r="F164">
        <v>7.2</v>
      </c>
      <c r="G164" t="s">
        <v>1303</v>
      </c>
      <c r="H164">
        <v>163</v>
      </c>
    </row>
    <row r="165" spans="1:8">
      <c r="A165" t="s">
        <v>1397</v>
      </c>
      <c r="B165" t="s">
        <v>1046</v>
      </c>
      <c r="C165" t="s">
        <v>1321</v>
      </c>
      <c r="D165">
        <v>2024</v>
      </c>
      <c r="E165">
        <v>8.5</v>
      </c>
      <c r="F165">
        <v>15.2</v>
      </c>
      <c r="G165" t="s">
        <v>1303</v>
      </c>
      <c r="H165">
        <v>164</v>
      </c>
    </row>
    <row r="166" spans="1:8">
      <c r="A166" t="s">
        <v>1397</v>
      </c>
      <c r="B166" t="s">
        <v>1046</v>
      </c>
      <c r="C166" t="s">
        <v>1321</v>
      </c>
      <c r="D166">
        <v>2024</v>
      </c>
      <c r="E166">
        <v>8.5</v>
      </c>
      <c r="F166">
        <v>10.1</v>
      </c>
      <c r="G166" t="s">
        <v>1299</v>
      </c>
      <c r="H166">
        <v>165</v>
      </c>
    </row>
    <row r="167" spans="1:8">
      <c r="A167" t="s">
        <v>1390</v>
      </c>
      <c r="B167" t="s">
        <v>485</v>
      </c>
      <c r="C167" t="s">
        <v>1305</v>
      </c>
      <c r="D167">
        <v>2022</v>
      </c>
      <c r="E167">
        <v>8.4</v>
      </c>
      <c r="F167">
        <v>13.2</v>
      </c>
      <c r="G167" t="s">
        <v>1303</v>
      </c>
      <c r="H167">
        <v>166</v>
      </c>
    </row>
    <row r="168" spans="1:8">
      <c r="A168" t="s">
        <v>1377</v>
      </c>
      <c r="B168" t="s">
        <v>1046</v>
      </c>
      <c r="C168" t="s">
        <v>1305</v>
      </c>
      <c r="D168">
        <v>2023</v>
      </c>
      <c r="E168">
        <v>8.4</v>
      </c>
      <c r="F168">
        <v>18.3</v>
      </c>
      <c r="G168" t="s">
        <v>1304</v>
      </c>
      <c r="H168">
        <v>167</v>
      </c>
    </row>
    <row r="169" spans="1:8">
      <c r="A169" t="s">
        <v>281</v>
      </c>
      <c r="B169" t="s">
        <v>183</v>
      </c>
      <c r="C169" t="s">
        <v>1305</v>
      </c>
      <c r="D169">
        <v>2024</v>
      </c>
      <c r="E169">
        <v>8.4</v>
      </c>
      <c r="F169">
        <v>11</v>
      </c>
      <c r="G169" t="s">
        <v>1315</v>
      </c>
      <c r="H169">
        <v>168</v>
      </c>
    </row>
    <row r="170" spans="1:8">
      <c r="A170" t="s">
        <v>1396</v>
      </c>
      <c r="B170" t="s">
        <v>485</v>
      </c>
      <c r="C170" t="s">
        <v>1305</v>
      </c>
      <c r="D170">
        <v>2025</v>
      </c>
      <c r="E170">
        <v>8.4</v>
      </c>
      <c r="F170">
        <v>13.9</v>
      </c>
      <c r="G170" t="s">
        <v>1303</v>
      </c>
      <c r="H170">
        <v>169</v>
      </c>
    </row>
    <row r="171" spans="1:8">
      <c r="A171" t="s">
        <v>1376</v>
      </c>
      <c r="B171" t="s">
        <v>57</v>
      </c>
      <c r="C171" t="s">
        <v>1300</v>
      </c>
      <c r="D171">
        <v>2021</v>
      </c>
      <c r="E171">
        <v>8.4</v>
      </c>
      <c r="F171">
        <v>12.2</v>
      </c>
      <c r="G171" t="s">
        <v>1304</v>
      </c>
      <c r="H171">
        <v>170</v>
      </c>
    </row>
    <row r="172" spans="1:8">
      <c r="A172" t="s">
        <v>1231</v>
      </c>
      <c r="B172" t="s">
        <v>1281</v>
      </c>
      <c r="C172" t="s">
        <v>1300</v>
      </c>
      <c r="D172">
        <v>2021</v>
      </c>
      <c r="E172">
        <v>8.4</v>
      </c>
      <c r="F172">
        <v>4.4000000000000004</v>
      </c>
      <c r="G172" t="s">
        <v>1315</v>
      </c>
      <c r="H172">
        <v>171</v>
      </c>
    </row>
    <row r="173" spans="1:8">
      <c r="A173" t="s">
        <v>1374</v>
      </c>
      <c r="B173" t="s">
        <v>183</v>
      </c>
      <c r="C173" t="s">
        <v>1300</v>
      </c>
      <c r="D173">
        <v>2022</v>
      </c>
      <c r="E173">
        <v>8.4</v>
      </c>
      <c r="F173">
        <v>13.9</v>
      </c>
      <c r="G173" t="s">
        <v>1303</v>
      </c>
      <c r="H173">
        <v>172</v>
      </c>
    </row>
    <row r="174" spans="1:8">
      <c r="A174" t="s">
        <v>1395</v>
      </c>
      <c r="B174" t="s">
        <v>1046</v>
      </c>
      <c r="C174" t="s">
        <v>1300</v>
      </c>
      <c r="D174">
        <v>2022</v>
      </c>
      <c r="E174">
        <v>8.4</v>
      </c>
      <c r="F174">
        <v>9.3000000000000007</v>
      </c>
      <c r="G174" t="s">
        <v>1303</v>
      </c>
      <c r="H174">
        <v>173</v>
      </c>
    </row>
    <row r="175" spans="1:8">
      <c r="A175" t="s">
        <v>1394</v>
      </c>
      <c r="B175" t="s">
        <v>1281</v>
      </c>
      <c r="C175" t="s">
        <v>1300</v>
      </c>
      <c r="D175">
        <v>2022</v>
      </c>
      <c r="E175">
        <v>8.4</v>
      </c>
      <c r="F175">
        <v>7.4</v>
      </c>
      <c r="G175" t="s">
        <v>1303</v>
      </c>
      <c r="H175">
        <v>174</v>
      </c>
    </row>
    <row r="176" spans="1:8">
      <c r="A176" t="s">
        <v>1373</v>
      </c>
      <c r="B176" t="s">
        <v>183</v>
      </c>
      <c r="C176" t="s">
        <v>1300</v>
      </c>
      <c r="D176">
        <v>2023</v>
      </c>
      <c r="E176">
        <v>8.4</v>
      </c>
      <c r="F176">
        <v>13.6</v>
      </c>
      <c r="G176" t="s">
        <v>1304</v>
      </c>
      <c r="H176">
        <v>175</v>
      </c>
    </row>
    <row r="177" spans="1:8">
      <c r="A177" t="s">
        <v>1373</v>
      </c>
      <c r="B177" t="s">
        <v>183</v>
      </c>
      <c r="C177" t="s">
        <v>1300</v>
      </c>
      <c r="D177">
        <v>2023</v>
      </c>
      <c r="E177">
        <v>8.4</v>
      </c>
      <c r="F177">
        <v>10.1</v>
      </c>
      <c r="G177" t="s">
        <v>1303</v>
      </c>
      <c r="H177">
        <v>176</v>
      </c>
    </row>
    <row r="178" spans="1:8">
      <c r="A178" t="s">
        <v>1393</v>
      </c>
      <c r="B178" t="s">
        <v>237</v>
      </c>
      <c r="C178" t="s">
        <v>1300</v>
      </c>
      <c r="D178">
        <v>2023</v>
      </c>
      <c r="E178">
        <v>8.4</v>
      </c>
      <c r="F178">
        <v>8.6</v>
      </c>
      <c r="G178" t="s">
        <v>1299</v>
      </c>
      <c r="H178">
        <v>177</v>
      </c>
    </row>
    <row r="179" spans="1:8">
      <c r="A179" t="s">
        <v>1382</v>
      </c>
      <c r="B179" t="s">
        <v>183</v>
      </c>
      <c r="C179" t="s">
        <v>1300</v>
      </c>
      <c r="D179">
        <v>2024</v>
      </c>
      <c r="E179">
        <v>8.4</v>
      </c>
      <c r="F179">
        <v>22.6</v>
      </c>
      <c r="G179" t="s">
        <v>1304</v>
      </c>
      <c r="H179">
        <v>178</v>
      </c>
    </row>
    <row r="180" spans="1:8">
      <c r="A180" t="s">
        <v>1382</v>
      </c>
      <c r="B180" t="s">
        <v>183</v>
      </c>
      <c r="C180" t="s">
        <v>1300</v>
      </c>
      <c r="D180">
        <v>2024</v>
      </c>
      <c r="E180">
        <v>8.4</v>
      </c>
      <c r="F180">
        <v>14.5</v>
      </c>
      <c r="G180" t="s">
        <v>1315</v>
      </c>
      <c r="H180">
        <v>179</v>
      </c>
    </row>
    <row r="181" spans="1:8">
      <c r="A181" t="s">
        <v>1387</v>
      </c>
      <c r="B181" t="s">
        <v>57</v>
      </c>
      <c r="C181" t="s">
        <v>1300</v>
      </c>
      <c r="D181">
        <v>2024</v>
      </c>
      <c r="E181">
        <v>8.4</v>
      </c>
      <c r="F181">
        <v>14.6</v>
      </c>
      <c r="G181" t="s">
        <v>1304</v>
      </c>
      <c r="H181">
        <v>180</v>
      </c>
    </row>
    <row r="182" spans="1:8">
      <c r="A182" t="s">
        <v>1381</v>
      </c>
      <c r="B182" t="s">
        <v>167</v>
      </c>
      <c r="C182" t="s">
        <v>1300</v>
      </c>
      <c r="D182">
        <v>2024</v>
      </c>
      <c r="E182">
        <v>8.4</v>
      </c>
      <c r="F182">
        <v>11.3</v>
      </c>
      <c r="G182" t="s">
        <v>1303</v>
      </c>
      <c r="H182">
        <v>181</v>
      </c>
    </row>
    <row r="183" spans="1:8">
      <c r="A183" t="s">
        <v>1392</v>
      </c>
      <c r="B183" t="s">
        <v>1043</v>
      </c>
      <c r="C183" t="s">
        <v>1310</v>
      </c>
      <c r="D183">
        <v>2021</v>
      </c>
      <c r="E183">
        <v>8.4</v>
      </c>
      <c r="F183">
        <v>5.9</v>
      </c>
      <c r="G183" t="s">
        <v>1315</v>
      </c>
      <c r="H183">
        <v>182</v>
      </c>
    </row>
    <row r="184" spans="1:8">
      <c r="A184" t="s">
        <v>1371</v>
      </c>
      <c r="B184" t="s">
        <v>1281</v>
      </c>
      <c r="C184" t="s">
        <v>1310</v>
      </c>
      <c r="D184">
        <v>2022</v>
      </c>
      <c r="E184">
        <v>8.4</v>
      </c>
      <c r="F184">
        <v>7.4</v>
      </c>
      <c r="G184" t="s">
        <v>1304</v>
      </c>
      <c r="H184">
        <v>183</v>
      </c>
    </row>
    <row r="185" spans="1:8">
      <c r="A185" t="s">
        <v>1391</v>
      </c>
      <c r="B185" t="s">
        <v>237</v>
      </c>
      <c r="C185" t="s">
        <v>1310</v>
      </c>
      <c r="D185">
        <v>2023</v>
      </c>
      <c r="E185">
        <v>8.4</v>
      </c>
      <c r="F185">
        <v>7.3</v>
      </c>
      <c r="G185" t="s">
        <v>1299</v>
      </c>
      <c r="H185">
        <v>184</v>
      </c>
    </row>
    <row r="186" spans="1:8">
      <c r="A186" t="s">
        <v>1385</v>
      </c>
      <c r="B186" t="s">
        <v>183</v>
      </c>
      <c r="C186" t="s">
        <v>1321</v>
      </c>
      <c r="D186">
        <v>2025</v>
      </c>
      <c r="E186">
        <v>8.4</v>
      </c>
      <c r="F186">
        <v>18.3</v>
      </c>
      <c r="G186" t="s">
        <v>1304</v>
      </c>
      <c r="H186">
        <v>185</v>
      </c>
    </row>
    <row r="187" spans="1:8">
      <c r="A187" t="s">
        <v>1385</v>
      </c>
      <c r="B187" t="s">
        <v>183</v>
      </c>
      <c r="C187" t="s">
        <v>1321</v>
      </c>
      <c r="D187">
        <v>2025</v>
      </c>
      <c r="E187">
        <v>8.4</v>
      </c>
      <c r="F187">
        <v>14.6</v>
      </c>
      <c r="G187" t="s">
        <v>1303</v>
      </c>
      <c r="H187">
        <v>186</v>
      </c>
    </row>
    <row r="188" spans="1:8">
      <c r="A188" t="s">
        <v>1390</v>
      </c>
      <c r="B188" t="s">
        <v>485</v>
      </c>
      <c r="C188" t="s">
        <v>1305</v>
      </c>
      <c r="D188">
        <v>2022</v>
      </c>
      <c r="E188">
        <v>8.3000000000000007</v>
      </c>
      <c r="F188">
        <v>8.1999999999999993</v>
      </c>
      <c r="G188" t="s">
        <v>1299</v>
      </c>
      <c r="H188">
        <v>187</v>
      </c>
    </row>
    <row r="189" spans="1:8">
      <c r="A189" t="s">
        <v>994</v>
      </c>
      <c r="B189" t="s">
        <v>485</v>
      </c>
      <c r="C189" t="s">
        <v>1305</v>
      </c>
      <c r="D189">
        <v>2023</v>
      </c>
      <c r="E189">
        <v>8.3000000000000007</v>
      </c>
      <c r="F189">
        <v>8.1</v>
      </c>
      <c r="G189" t="s">
        <v>1304</v>
      </c>
      <c r="H189">
        <v>188</v>
      </c>
    </row>
    <row r="190" spans="1:8">
      <c r="A190" t="s">
        <v>994</v>
      </c>
      <c r="B190" t="s">
        <v>485</v>
      </c>
      <c r="C190" t="s">
        <v>1305</v>
      </c>
      <c r="D190">
        <v>2023</v>
      </c>
      <c r="E190">
        <v>8.3000000000000007</v>
      </c>
      <c r="F190">
        <v>6</v>
      </c>
      <c r="G190" t="s">
        <v>1315</v>
      </c>
      <c r="H190">
        <v>189</v>
      </c>
    </row>
    <row r="191" spans="1:8">
      <c r="A191" t="s">
        <v>798</v>
      </c>
      <c r="B191" t="s">
        <v>485</v>
      </c>
      <c r="C191" t="s">
        <v>1305</v>
      </c>
      <c r="D191">
        <v>2024</v>
      </c>
      <c r="E191">
        <v>8.3000000000000007</v>
      </c>
      <c r="F191">
        <v>12.7</v>
      </c>
      <c r="G191" t="s">
        <v>1303</v>
      </c>
      <c r="H191">
        <v>190</v>
      </c>
    </row>
    <row r="192" spans="1:8">
      <c r="A192" t="s">
        <v>798</v>
      </c>
      <c r="B192" t="s">
        <v>485</v>
      </c>
      <c r="C192" t="s">
        <v>1305</v>
      </c>
      <c r="D192">
        <v>2024</v>
      </c>
      <c r="E192">
        <v>8.3000000000000007</v>
      </c>
      <c r="F192">
        <v>8.6999999999999993</v>
      </c>
      <c r="G192" t="s">
        <v>1299</v>
      </c>
      <c r="H192">
        <v>191</v>
      </c>
    </row>
    <row r="193" spans="1:8">
      <c r="A193" t="s">
        <v>1389</v>
      </c>
      <c r="B193" t="s">
        <v>237</v>
      </c>
      <c r="C193" t="s">
        <v>1305</v>
      </c>
      <c r="D193">
        <v>2024</v>
      </c>
      <c r="E193">
        <v>8.3000000000000007</v>
      </c>
      <c r="F193">
        <v>7.7</v>
      </c>
      <c r="G193" t="s">
        <v>1299</v>
      </c>
      <c r="H193">
        <v>192</v>
      </c>
    </row>
    <row r="194" spans="1:8">
      <c r="A194" t="s">
        <v>1388</v>
      </c>
      <c r="B194" t="s">
        <v>183</v>
      </c>
      <c r="C194" t="s">
        <v>1305</v>
      </c>
      <c r="D194">
        <v>2025</v>
      </c>
      <c r="E194">
        <v>8.3000000000000007</v>
      </c>
      <c r="F194">
        <v>9.6</v>
      </c>
      <c r="G194" t="s">
        <v>1299</v>
      </c>
      <c r="H194">
        <v>193</v>
      </c>
    </row>
    <row r="195" spans="1:8">
      <c r="A195" t="s">
        <v>1384</v>
      </c>
      <c r="B195" t="s">
        <v>183</v>
      </c>
      <c r="C195" t="s">
        <v>1300</v>
      </c>
      <c r="D195">
        <v>2021</v>
      </c>
      <c r="E195">
        <v>8.3000000000000007</v>
      </c>
      <c r="F195">
        <v>19.399999999999999</v>
      </c>
      <c r="G195" t="s">
        <v>1303</v>
      </c>
      <c r="H195">
        <v>194</v>
      </c>
    </row>
    <row r="196" spans="1:8">
      <c r="A196" t="s">
        <v>1375</v>
      </c>
      <c r="B196" t="s">
        <v>485</v>
      </c>
      <c r="C196" t="s">
        <v>1300</v>
      </c>
      <c r="D196">
        <v>2021</v>
      </c>
      <c r="E196">
        <v>8.3000000000000007</v>
      </c>
      <c r="F196">
        <v>10.9</v>
      </c>
      <c r="G196" t="s">
        <v>1304</v>
      </c>
      <c r="H196">
        <v>195</v>
      </c>
    </row>
    <row r="197" spans="1:8">
      <c r="A197" t="s">
        <v>1364</v>
      </c>
      <c r="B197" t="s">
        <v>237</v>
      </c>
      <c r="C197" t="s">
        <v>1300</v>
      </c>
      <c r="D197">
        <v>2021</v>
      </c>
      <c r="E197">
        <v>8.3000000000000007</v>
      </c>
      <c r="F197">
        <v>9.5</v>
      </c>
      <c r="G197" t="s">
        <v>1304</v>
      </c>
      <c r="H197">
        <v>196</v>
      </c>
    </row>
    <row r="198" spans="1:8">
      <c r="A198" t="s">
        <v>1092</v>
      </c>
      <c r="B198" t="s">
        <v>167</v>
      </c>
      <c r="C198" t="s">
        <v>1300</v>
      </c>
      <c r="D198">
        <v>2022</v>
      </c>
      <c r="E198">
        <v>8.3000000000000007</v>
      </c>
      <c r="F198">
        <v>20</v>
      </c>
      <c r="G198" t="s">
        <v>1304</v>
      </c>
      <c r="H198">
        <v>197</v>
      </c>
    </row>
    <row r="199" spans="1:8">
      <c r="A199" t="s">
        <v>1059</v>
      </c>
      <c r="B199" t="s">
        <v>183</v>
      </c>
      <c r="C199" t="s">
        <v>1300</v>
      </c>
      <c r="D199">
        <v>2022</v>
      </c>
      <c r="E199">
        <v>8.3000000000000007</v>
      </c>
      <c r="F199">
        <v>12.6</v>
      </c>
      <c r="G199" t="s">
        <v>1304</v>
      </c>
      <c r="H199">
        <v>198</v>
      </c>
    </row>
    <row r="200" spans="1:8">
      <c r="A200" t="s">
        <v>1382</v>
      </c>
      <c r="B200" t="s">
        <v>183</v>
      </c>
      <c r="C200" t="s">
        <v>1300</v>
      </c>
      <c r="D200">
        <v>2024</v>
      </c>
      <c r="E200">
        <v>8.3000000000000007</v>
      </c>
      <c r="F200">
        <v>18</v>
      </c>
      <c r="G200" t="s">
        <v>1303</v>
      </c>
      <c r="H200">
        <v>199</v>
      </c>
    </row>
    <row r="201" spans="1:8">
      <c r="A201" t="s">
        <v>1362</v>
      </c>
      <c r="B201" t="s">
        <v>1043</v>
      </c>
      <c r="C201" t="s">
        <v>1300</v>
      </c>
      <c r="D201">
        <v>2024</v>
      </c>
      <c r="E201">
        <v>8.3000000000000007</v>
      </c>
      <c r="F201">
        <v>9.9</v>
      </c>
      <c r="G201" t="s">
        <v>1315</v>
      </c>
      <c r="H201">
        <v>200</v>
      </c>
    </row>
    <row r="202" spans="1:8">
      <c r="A202" t="s">
        <v>1387</v>
      </c>
      <c r="B202" t="s">
        <v>57</v>
      </c>
      <c r="C202" t="s">
        <v>1300</v>
      </c>
      <c r="D202">
        <v>2024</v>
      </c>
      <c r="E202">
        <v>8.3000000000000007</v>
      </c>
      <c r="F202">
        <v>11</v>
      </c>
      <c r="G202" t="s">
        <v>1303</v>
      </c>
      <c r="H202">
        <v>201</v>
      </c>
    </row>
    <row r="203" spans="1:8">
      <c r="A203" t="s">
        <v>1386</v>
      </c>
      <c r="B203" t="s">
        <v>183</v>
      </c>
      <c r="C203" t="s">
        <v>1300</v>
      </c>
      <c r="D203">
        <v>2025</v>
      </c>
      <c r="E203">
        <v>8.3000000000000007</v>
      </c>
      <c r="F203">
        <v>13.3</v>
      </c>
      <c r="G203" t="s">
        <v>1299</v>
      </c>
      <c r="H203">
        <v>202</v>
      </c>
    </row>
    <row r="204" spans="1:8">
      <c r="A204" t="s">
        <v>1372</v>
      </c>
      <c r="B204" t="s">
        <v>1280</v>
      </c>
      <c r="C204" t="s">
        <v>1300</v>
      </c>
      <c r="D204">
        <v>2025</v>
      </c>
      <c r="E204">
        <v>8.3000000000000007</v>
      </c>
      <c r="F204">
        <v>12.5</v>
      </c>
      <c r="G204" t="s">
        <v>1304</v>
      </c>
      <c r="H204">
        <v>203</v>
      </c>
    </row>
    <row r="205" spans="1:8">
      <c r="A205" t="s">
        <v>1379</v>
      </c>
      <c r="B205" t="s">
        <v>1280</v>
      </c>
      <c r="C205" t="s">
        <v>1321</v>
      </c>
      <c r="D205">
        <v>2021</v>
      </c>
      <c r="E205">
        <v>8.3000000000000007</v>
      </c>
      <c r="F205">
        <v>10.3</v>
      </c>
      <c r="G205" t="s">
        <v>1304</v>
      </c>
      <c r="H205">
        <v>204</v>
      </c>
    </row>
    <row r="206" spans="1:8">
      <c r="A206" t="s">
        <v>1379</v>
      </c>
      <c r="B206" t="s">
        <v>1280</v>
      </c>
      <c r="C206" t="s">
        <v>1321</v>
      </c>
      <c r="D206">
        <v>2021</v>
      </c>
      <c r="E206">
        <v>8.3000000000000007</v>
      </c>
      <c r="F206">
        <v>6.2</v>
      </c>
      <c r="G206" t="s">
        <v>1315</v>
      </c>
      <c r="H206">
        <v>205</v>
      </c>
    </row>
    <row r="207" spans="1:8">
      <c r="A207" t="s">
        <v>1378</v>
      </c>
      <c r="B207" t="s">
        <v>167</v>
      </c>
      <c r="C207" t="s">
        <v>1321</v>
      </c>
      <c r="D207">
        <v>2022</v>
      </c>
      <c r="E207">
        <v>8.3000000000000007</v>
      </c>
      <c r="F207">
        <v>8.8000000000000007</v>
      </c>
      <c r="G207" t="s">
        <v>1299</v>
      </c>
      <c r="H207">
        <v>206</v>
      </c>
    </row>
    <row r="208" spans="1:8">
      <c r="A208" t="s">
        <v>661</v>
      </c>
      <c r="B208" t="s">
        <v>183</v>
      </c>
      <c r="C208" t="s">
        <v>1321</v>
      </c>
      <c r="D208">
        <v>2023</v>
      </c>
      <c r="E208">
        <v>8.3000000000000007</v>
      </c>
      <c r="F208">
        <v>10.5</v>
      </c>
      <c r="G208" t="s">
        <v>1304</v>
      </c>
      <c r="H208">
        <v>207</v>
      </c>
    </row>
    <row r="209" spans="1:8">
      <c r="A209" t="s">
        <v>1348</v>
      </c>
      <c r="B209" t="s">
        <v>183</v>
      </c>
      <c r="C209" t="s">
        <v>1321</v>
      </c>
      <c r="D209">
        <v>2024</v>
      </c>
      <c r="E209">
        <v>8.3000000000000007</v>
      </c>
      <c r="F209">
        <v>16.899999999999999</v>
      </c>
      <c r="G209" t="s">
        <v>1304</v>
      </c>
      <c r="H209">
        <v>208</v>
      </c>
    </row>
    <row r="210" spans="1:8">
      <c r="A210" t="s">
        <v>1385</v>
      </c>
      <c r="B210" t="s">
        <v>183</v>
      </c>
      <c r="C210" t="s">
        <v>1321</v>
      </c>
      <c r="D210">
        <v>2025</v>
      </c>
      <c r="E210">
        <v>8.3000000000000007</v>
      </c>
      <c r="F210">
        <v>9.6</v>
      </c>
      <c r="G210" t="s">
        <v>1299</v>
      </c>
      <c r="H210">
        <v>209</v>
      </c>
    </row>
    <row r="211" spans="1:8">
      <c r="A211" t="s">
        <v>1365</v>
      </c>
      <c r="B211" t="s">
        <v>237</v>
      </c>
      <c r="C211" t="s">
        <v>1305</v>
      </c>
      <c r="D211">
        <v>2022</v>
      </c>
      <c r="E211">
        <v>8.1999999999999993</v>
      </c>
      <c r="F211">
        <v>8.5</v>
      </c>
      <c r="G211" t="s">
        <v>1304</v>
      </c>
      <c r="H211">
        <v>210</v>
      </c>
    </row>
    <row r="212" spans="1:8">
      <c r="A212" t="s">
        <v>994</v>
      </c>
      <c r="B212" t="s">
        <v>485</v>
      </c>
      <c r="C212" t="s">
        <v>1305</v>
      </c>
      <c r="D212">
        <v>2023</v>
      </c>
      <c r="E212">
        <v>8.1999999999999993</v>
      </c>
      <c r="F212">
        <v>6.6</v>
      </c>
      <c r="G212" t="s">
        <v>1303</v>
      </c>
      <c r="H212">
        <v>211</v>
      </c>
    </row>
    <row r="213" spans="1:8">
      <c r="A213" t="s">
        <v>281</v>
      </c>
      <c r="B213" t="s">
        <v>183</v>
      </c>
      <c r="C213" t="s">
        <v>1305</v>
      </c>
      <c r="D213">
        <v>2024</v>
      </c>
      <c r="E213">
        <v>8.1999999999999993</v>
      </c>
      <c r="F213">
        <v>13.5</v>
      </c>
      <c r="G213" t="s">
        <v>1303</v>
      </c>
      <c r="H213">
        <v>212</v>
      </c>
    </row>
    <row r="214" spans="1:8">
      <c r="A214" t="s">
        <v>1384</v>
      </c>
      <c r="B214" t="s">
        <v>183</v>
      </c>
      <c r="C214" t="s">
        <v>1300</v>
      </c>
      <c r="D214">
        <v>2021</v>
      </c>
      <c r="E214">
        <v>8.1999999999999993</v>
      </c>
      <c r="F214">
        <v>12.3</v>
      </c>
      <c r="G214" t="s">
        <v>1299</v>
      </c>
      <c r="H214">
        <v>213</v>
      </c>
    </row>
    <row r="215" spans="1:8">
      <c r="A215" t="s">
        <v>1376</v>
      </c>
      <c r="B215" t="s">
        <v>57</v>
      </c>
      <c r="C215" t="s">
        <v>1300</v>
      </c>
      <c r="D215">
        <v>2021</v>
      </c>
      <c r="E215">
        <v>8.1999999999999993</v>
      </c>
      <c r="F215">
        <v>8.3000000000000007</v>
      </c>
      <c r="G215" t="s">
        <v>1315</v>
      </c>
      <c r="H215">
        <v>214</v>
      </c>
    </row>
    <row r="216" spans="1:8">
      <c r="A216" t="s">
        <v>1369</v>
      </c>
      <c r="B216" t="s">
        <v>57</v>
      </c>
      <c r="C216" t="s">
        <v>1300</v>
      </c>
      <c r="D216">
        <v>2021</v>
      </c>
      <c r="E216">
        <v>8.1999999999999993</v>
      </c>
      <c r="F216">
        <v>11.5</v>
      </c>
      <c r="G216" t="s">
        <v>1304</v>
      </c>
      <c r="H216">
        <v>215</v>
      </c>
    </row>
    <row r="217" spans="1:8">
      <c r="A217" t="s">
        <v>1363</v>
      </c>
      <c r="B217" t="s">
        <v>485</v>
      </c>
      <c r="C217" t="s">
        <v>1300</v>
      </c>
      <c r="D217">
        <v>2023</v>
      </c>
      <c r="E217">
        <v>8.1999999999999993</v>
      </c>
      <c r="F217">
        <v>11.9</v>
      </c>
      <c r="G217" t="s">
        <v>1304</v>
      </c>
      <c r="H217">
        <v>216</v>
      </c>
    </row>
    <row r="218" spans="1:8">
      <c r="A218" t="s">
        <v>1383</v>
      </c>
      <c r="B218" t="s">
        <v>1280</v>
      </c>
      <c r="C218" t="s">
        <v>1300</v>
      </c>
      <c r="D218">
        <v>2023</v>
      </c>
      <c r="E218">
        <v>8.1999999999999993</v>
      </c>
      <c r="F218">
        <v>4.9000000000000004</v>
      </c>
      <c r="G218" t="s">
        <v>1315</v>
      </c>
      <c r="H218">
        <v>217</v>
      </c>
    </row>
    <row r="219" spans="1:8">
      <c r="A219" t="s">
        <v>1382</v>
      </c>
      <c r="B219" t="s">
        <v>183</v>
      </c>
      <c r="C219" t="s">
        <v>1300</v>
      </c>
      <c r="D219">
        <v>2024</v>
      </c>
      <c r="E219">
        <v>8.1999999999999993</v>
      </c>
      <c r="F219">
        <v>11.5</v>
      </c>
      <c r="G219" t="s">
        <v>1299</v>
      </c>
      <c r="H219">
        <v>218</v>
      </c>
    </row>
    <row r="220" spans="1:8">
      <c r="A220" t="s">
        <v>1362</v>
      </c>
      <c r="B220" t="s">
        <v>1043</v>
      </c>
      <c r="C220" t="s">
        <v>1300</v>
      </c>
      <c r="D220">
        <v>2024</v>
      </c>
      <c r="E220">
        <v>8.1999999999999993</v>
      </c>
      <c r="F220">
        <v>15.3</v>
      </c>
      <c r="G220" t="s">
        <v>1304</v>
      </c>
      <c r="H220">
        <v>219</v>
      </c>
    </row>
    <row r="221" spans="1:8">
      <c r="A221" t="s">
        <v>1362</v>
      </c>
      <c r="B221" t="s">
        <v>1043</v>
      </c>
      <c r="C221" t="s">
        <v>1300</v>
      </c>
      <c r="D221">
        <v>2024</v>
      </c>
      <c r="E221">
        <v>8.1999999999999993</v>
      </c>
      <c r="F221">
        <v>11.9</v>
      </c>
      <c r="G221" t="s">
        <v>1303</v>
      </c>
      <c r="H221">
        <v>220</v>
      </c>
    </row>
    <row r="222" spans="1:8">
      <c r="A222" t="s">
        <v>1381</v>
      </c>
      <c r="B222" t="s">
        <v>167</v>
      </c>
      <c r="C222" t="s">
        <v>1300</v>
      </c>
      <c r="D222">
        <v>2024</v>
      </c>
      <c r="E222">
        <v>8.1999999999999993</v>
      </c>
      <c r="F222">
        <v>7.9</v>
      </c>
      <c r="G222" t="s">
        <v>1299</v>
      </c>
      <c r="H222">
        <v>221</v>
      </c>
    </row>
    <row r="223" spans="1:8">
      <c r="A223" t="s">
        <v>1380</v>
      </c>
      <c r="B223" t="s">
        <v>57</v>
      </c>
      <c r="C223" t="s">
        <v>1300</v>
      </c>
      <c r="D223">
        <v>2024</v>
      </c>
      <c r="E223">
        <v>8.1999999999999993</v>
      </c>
      <c r="F223">
        <v>11.4</v>
      </c>
      <c r="G223" t="s">
        <v>1304</v>
      </c>
      <c r="H223">
        <v>222</v>
      </c>
    </row>
    <row r="224" spans="1:8">
      <c r="A224" t="s">
        <v>1380</v>
      </c>
      <c r="B224" t="s">
        <v>57</v>
      </c>
      <c r="C224" t="s">
        <v>1300</v>
      </c>
      <c r="D224">
        <v>2024</v>
      </c>
      <c r="E224">
        <v>8.1999999999999993</v>
      </c>
      <c r="F224">
        <v>8.1</v>
      </c>
      <c r="G224" t="s">
        <v>1303</v>
      </c>
      <c r="H224">
        <v>223</v>
      </c>
    </row>
    <row r="225" spans="1:8">
      <c r="A225" t="s">
        <v>1380</v>
      </c>
      <c r="B225" t="s">
        <v>57</v>
      </c>
      <c r="C225" t="s">
        <v>1300</v>
      </c>
      <c r="D225">
        <v>2024</v>
      </c>
      <c r="E225">
        <v>8.1999999999999993</v>
      </c>
      <c r="F225">
        <v>7.5</v>
      </c>
      <c r="G225" t="s">
        <v>1315</v>
      </c>
      <c r="H225">
        <v>224</v>
      </c>
    </row>
    <row r="226" spans="1:8">
      <c r="A226" t="s">
        <v>1367</v>
      </c>
      <c r="B226" t="s">
        <v>126</v>
      </c>
      <c r="C226" t="s">
        <v>1310</v>
      </c>
      <c r="D226">
        <v>2021</v>
      </c>
      <c r="E226">
        <v>8.1999999999999993</v>
      </c>
      <c r="F226">
        <v>7.8</v>
      </c>
      <c r="G226" t="s">
        <v>1304</v>
      </c>
      <c r="H226">
        <v>225</v>
      </c>
    </row>
    <row r="227" spans="1:8">
      <c r="A227" t="s">
        <v>1360</v>
      </c>
      <c r="B227" t="s">
        <v>167</v>
      </c>
      <c r="C227" t="s">
        <v>1310</v>
      </c>
      <c r="D227">
        <v>2021</v>
      </c>
      <c r="E227">
        <v>8.1999999999999993</v>
      </c>
      <c r="F227">
        <v>6.9</v>
      </c>
      <c r="G227" t="s">
        <v>1304</v>
      </c>
      <c r="H227">
        <v>226</v>
      </c>
    </row>
    <row r="228" spans="1:8">
      <c r="A228" t="s">
        <v>1370</v>
      </c>
      <c r="B228" t="s">
        <v>485</v>
      </c>
      <c r="C228" t="s">
        <v>1310</v>
      </c>
      <c r="D228">
        <v>2023</v>
      </c>
      <c r="E228">
        <v>8.1999999999999993</v>
      </c>
      <c r="F228">
        <v>8.1999999999999993</v>
      </c>
      <c r="G228" t="s">
        <v>1304</v>
      </c>
      <c r="H228">
        <v>227</v>
      </c>
    </row>
    <row r="229" spans="1:8">
      <c r="A229" t="s">
        <v>1370</v>
      </c>
      <c r="B229" t="s">
        <v>485</v>
      </c>
      <c r="C229" t="s">
        <v>1310</v>
      </c>
      <c r="D229">
        <v>2023</v>
      </c>
      <c r="E229">
        <v>8.1999999999999993</v>
      </c>
      <c r="F229">
        <v>4.9000000000000004</v>
      </c>
      <c r="G229" t="s">
        <v>1315</v>
      </c>
      <c r="H229">
        <v>228</v>
      </c>
    </row>
    <row r="230" spans="1:8">
      <c r="A230" t="s">
        <v>1357</v>
      </c>
      <c r="B230" t="s">
        <v>485</v>
      </c>
      <c r="C230" t="s">
        <v>1310</v>
      </c>
      <c r="D230">
        <v>2026</v>
      </c>
      <c r="E230">
        <v>8.1999999999999993</v>
      </c>
      <c r="F230">
        <v>11.3</v>
      </c>
      <c r="G230" t="s">
        <v>1304</v>
      </c>
      <c r="H230">
        <v>229</v>
      </c>
    </row>
    <row r="231" spans="1:8">
      <c r="A231" t="s">
        <v>1357</v>
      </c>
      <c r="B231" t="s">
        <v>485</v>
      </c>
      <c r="C231" t="s">
        <v>1310</v>
      </c>
      <c r="D231">
        <v>2026</v>
      </c>
      <c r="E231">
        <v>8.1999999999999993</v>
      </c>
      <c r="F231">
        <v>6.4</v>
      </c>
      <c r="G231" t="s">
        <v>1315</v>
      </c>
      <c r="H231">
        <v>230</v>
      </c>
    </row>
    <row r="232" spans="1:8">
      <c r="A232" t="s">
        <v>1379</v>
      </c>
      <c r="B232" t="s">
        <v>1280</v>
      </c>
      <c r="C232" t="s">
        <v>1321</v>
      </c>
      <c r="D232">
        <v>2021</v>
      </c>
      <c r="E232">
        <v>8.1999999999999993</v>
      </c>
      <c r="F232">
        <v>8.9</v>
      </c>
      <c r="G232" t="s">
        <v>1303</v>
      </c>
      <c r="H232">
        <v>231</v>
      </c>
    </row>
    <row r="233" spans="1:8">
      <c r="A233" t="s">
        <v>1378</v>
      </c>
      <c r="B233" t="s">
        <v>167</v>
      </c>
      <c r="C233" t="s">
        <v>1321</v>
      </c>
      <c r="D233">
        <v>2022</v>
      </c>
      <c r="E233">
        <v>8.1999999999999993</v>
      </c>
      <c r="F233">
        <v>13.9</v>
      </c>
      <c r="G233" t="s">
        <v>1303</v>
      </c>
      <c r="H233">
        <v>232</v>
      </c>
    </row>
    <row r="234" spans="1:8">
      <c r="A234" t="s">
        <v>1351</v>
      </c>
      <c r="B234" t="s">
        <v>183</v>
      </c>
      <c r="C234" t="s">
        <v>1321</v>
      </c>
      <c r="D234">
        <v>2026</v>
      </c>
      <c r="E234">
        <v>8.1999999999999993</v>
      </c>
      <c r="F234">
        <v>17.600000000000001</v>
      </c>
      <c r="G234" t="s">
        <v>1304</v>
      </c>
      <c r="H234">
        <v>233</v>
      </c>
    </row>
    <row r="235" spans="1:8">
      <c r="A235" t="s">
        <v>1377</v>
      </c>
      <c r="B235" t="s">
        <v>1046</v>
      </c>
      <c r="C235" t="s">
        <v>1305</v>
      </c>
      <c r="D235">
        <v>2023</v>
      </c>
      <c r="E235">
        <v>8.1</v>
      </c>
      <c r="F235">
        <v>14.4</v>
      </c>
      <c r="G235" t="s">
        <v>1303</v>
      </c>
      <c r="H235">
        <v>234</v>
      </c>
    </row>
    <row r="236" spans="1:8">
      <c r="A236" t="s">
        <v>1377</v>
      </c>
      <c r="B236" t="s">
        <v>1046</v>
      </c>
      <c r="C236" t="s">
        <v>1305</v>
      </c>
      <c r="D236">
        <v>2023</v>
      </c>
      <c r="E236">
        <v>8.1</v>
      </c>
      <c r="F236">
        <v>10.1</v>
      </c>
      <c r="G236" t="s">
        <v>1299</v>
      </c>
      <c r="H236">
        <v>235</v>
      </c>
    </row>
    <row r="237" spans="1:8">
      <c r="A237" t="s">
        <v>281</v>
      </c>
      <c r="B237" t="s">
        <v>183</v>
      </c>
      <c r="C237" t="s">
        <v>1305</v>
      </c>
      <c r="D237">
        <v>2024</v>
      </c>
      <c r="E237">
        <v>8.1</v>
      </c>
      <c r="F237">
        <v>8.9</v>
      </c>
      <c r="G237" t="s">
        <v>1299</v>
      </c>
      <c r="H237">
        <v>236</v>
      </c>
    </row>
    <row r="238" spans="1:8">
      <c r="A238" t="s">
        <v>1348</v>
      </c>
      <c r="B238" t="s">
        <v>183</v>
      </c>
      <c r="C238" t="s">
        <v>1305</v>
      </c>
      <c r="D238">
        <v>2024</v>
      </c>
      <c r="E238">
        <v>8.1</v>
      </c>
      <c r="F238">
        <v>17.100000000000001</v>
      </c>
      <c r="G238" t="s">
        <v>1304</v>
      </c>
      <c r="H238">
        <v>237</v>
      </c>
    </row>
    <row r="239" spans="1:8">
      <c r="A239" t="s">
        <v>1356</v>
      </c>
      <c r="B239" t="s">
        <v>1280</v>
      </c>
      <c r="C239" t="s">
        <v>1305</v>
      </c>
      <c r="D239">
        <v>2025</v>
      </c>
      <c r="E239">
        <v>8.1</v>
      </c>
      <c r="F239">
        <v>9.1999999999999993</v>
      </c>
      <c r="G239" t="s">
        <v>1304</v>
      </c>
      <c r="H239">
        <v>238</v>
      </c>
    </row>
    <row r="240" spans="1:8">
      <c r="A240" t="s">
        <v>1347</v>
      </c>
      <c r="B240" t="s">
        <v>167</v>
      </c>
      <c r="C240" t="s">
        <v>1305</v>
      </c>
      <c r="D240">
        <v>2025</v>
      </c>
      <c r="E240">
        <v>8.1</v>
      </c>
      <c r="F240">
        <v>11.9</v>
      </c>
      <c r="G240" t="s">
        <v>1304</v>
      </c>
      <c r="H240">
        <v>239</v>
      </c>
    </row>
    <row r="241" spans="1:8">
      <c r="A241" t="s">
        <v>1376</v>
      </c>
      <c r="B241" t="s">
        <v>57</v>
      </c>
      <c r="C241" t="s">
        <v>1300</v>
      </c>
      <c r="D241">
        <v>2021</v>
      </c>
      <c r="E241">
        <v>8.1</v>
      </c>
      <c r="F241">
        <v>10.199999999999999</v>
      </c>
      <c r="G241" t="s">
        <v>1303</v>
      </c>
      <c r="H241">
        <v>240</v>
      </c>
    </row>
    <row r="242" spans="1:8">
      <c r="A242" t="s">
        <v>1375</v>
      </c>
      <c r="B242" t="s">
        <v>485</v>
      </c>
      <c r="C242" t="s">
        <v>1300</v>
      </c>
      <c r="D242">
        <v>2021</v>
      </c>
      <c r="E242">
        <v>8.1</v>
      </c>
      <c r="F242">
        <v>8.6999999999999993</v>
      </c>
      <c r="G242" t="s">
        <v>1303</v>
      </c>
      <c r="H242">
        <v>241</v>
      </c>
    </row>
    <row r="243" spans="1:8">
      <c r="A243" t="s">
        <v>1375</v>
      </c>
      <c r="B243" t="s">
        <v>485</v>
      </c>
      <c r="C243" t="s">
        <v>1300</v>
      </c>
      <c r="D243">
        <v>2021</v>
      </c>
      <c r="E243">
        <v>8.1</v>
      </c>
      <c r="F243">
        <v>6.9</v>
      </c>
      <c r="G243" t="s">
        <v>1315</v>
      </c>
      <c r="H243">
        <v>242</v>
      </c>
    </row>
    <row r="244" spans="1:8">
      <c r="A244" t="s">
        <v>1368</v>
      </c>
      <c r="B244" t="s">
        <v>57</v>
      </c>
      <c r="C244" t="s">
        <v>1300</v>
      </c>
      <c r="D244">
        <v>2021</v>
      </c>
      <c r="E244">
        <v>8.1</v>
      </c>
      <c r="F244">
        <v>14</v>
      </c>
      <c r="G244" t="s">
        <v>1304</v>
      </c>
      <c r="H244">
        <v>243</v>
      </c>
    </row>
    <row r="245" spans="1:8">
      <c r="A245" t="s">
        <v>1368</v>
      </c>
      <c r="B245" t="s">
        <v>57</v>
      </c>
      <c r="C245" t="s">
        <v>1300</v>
      </c>
      <c r="D245">
        <v>2021</v>
      </c>
      <c r="E245">
        <v>8.1</v>
      </c>
      <c r="F245">
        <v>10.5</v>
      </c>
      <c r="G245" t="s">
        <v>1303</v>
      </c>
      <c r="H245">
        <v>244</v>
      </c>
    </row>
    <row r="246" spans="1:8">
      <c r="A246" t="s">
        <v>1135</v>
      </c>
      <c r="B246" t="s">
        <v>1280</v>
      </c>
      <c r="C246" t="s">
        <v>1300</v>
      </c>
      <c r="D246">
        <v>2021</v>
      </c>
      <c r="E246">
        <v>8.1</v>
      </c>
      <c r="F246">
        <v>12</v>
      </c>
      <c r="G246" t="s">
        <v>1304</v>
      </c>
      <c r="H246">
        <v>245</v>
      </c>
    </row>
    <row r="247" spans="1:8">
      <c r="A247" t="s">
        <v>1374</v>
      </c>
      <c r="B247" t="s">
        <v>183</v>
      </c>
      <c r="C247" t="s">
        <v>1300</v>
      </c>
      <c r="D247">
        <v>2022</v>
      </c>
      <c r="E247">
        <v>8.1</v>
      </c>
      <c r="F247">
        <v>9.4</v>
      </c>
      <c r="G247" t="s">
        <v>1299</v>
      </c>
      <c r="H247">
        <v>246</v>
      </c>
    </row>
    <row r="248" spans="1:8">
      <c r="A248" t="s">
        <v>1355</v>
      </c>
      <c r="B248" t="s">
        <v>183</v>
      </c>
      <c r="C248" t="s">
        <v>1300</v>
      </c>
      <c r="D248">
        <v>2022</v>
      </c>
      <c r="E248">
        <v>8.1</v>
      </c>
      <c r="F248">
        <v>17</v>
      </c>
      <c r="G248" t="s">
        <v>1304</v>
      </c>
      <c r="H248">
        <v>247</v>
      </c>
    </row>
    <row r="249" spans="1:8">
      <c r="A249" t="s">
        <v>1059</v>
      </c>
      <c r="B249" t="s">
        <v>183</v>
      </c>
      <c r="C249" t="s">
        <v>1300</v>
      </c>
      <c r="D249">
        <v>2022</v>
      </c>
      <c r="E249">
        <v>8.1</v>
      </c>
      <c r="F249">
        <v>8</v>
      </c>
      <c r="G249" t="s">
        <v>1315</v>
      </c>
      <c r="H249">
        <v>248</v>
      </c>
    </row>
    <row r="250" spans="1:8">
      <c r="A250" t="s">
        <v>1373</v>
      </c>
      <c r="B250" t="s">
        <v>183</v>
      </c>
      <c r="C250" t="s">
        <v>1300</v>
      </c>
      <c r="D250">
        <v>2023</v>
      </c>
      <c r="E250">
        <v>8.1</v>
      </c>
      <c r="F250">
        <v>7.3</v>
      </c>
      <c r="G250" t="s">
        <v>1299</v>
      </c>
      <c r="H250">
        <v>249</v>
      </c>
    </row>
    <row r="251" spans="1:8">
      <c r="A251" t="s">
        <v>855</v>
      </c>
      <c r="B251" t="s">
        <v>183</v>
      </c>
      <c r="C251" t="s">
        <v>1300</v>
      </c>
      <c r="D251">
        <v>2023</v>
      </c>
      <c r="E251">
        <v>8.1</v>
      </c>
      <c r="F251">
        <v>9.5</v>
      </c>
      <c r="G251" t="s">
        <v>1304</v>
      </c>
      <c r="H251">
        <v>250</v>
      </c>
    </row>
    <row r="252" spans="1:8">
      <c r="A252" t="s">
        <v>1361</v>
      </c>
      <c r="B252" t="s">
        <v>183</v>
      </c>
      <c r="C252" t="s">
        <v>1300</v>
      </c>
      <c r="D252">
        <v>2024</v>
      </c>
      <c r="E252">
        <v>8.1</v>
      </c>
      <c r="F252">
        <v>18.5</v>
      </c>
      <c r="G252" t="s">
        <v>1304</v>
      </c>
      <c r="H252">
        <v>251</v>
      </c>
    </row>
    <row r="253" spans="1:8">
      <c r="A253" t="s">
        <v>1361</v>
      </c>
      <c r="B253" t="s">
        <v>183</v>
      </c>
      <c r="C253" t="s">
        <v>1300</v>
      </c>
      <c r="D253">
        <v>2024</v>
      </c>
      <c r="E253">
        <v>8.1</v>
      </c>
      <c r="F253">
        <v>14.5</v>
      </c>
      <c r="G253" t="s">
        <v>1303</v>
      </c>
      <c r="H253">
        <v>252</v>
      </c>
    </row>
    <row r="254" spans="1:8">
      <c r="A254" t="s">
        <v>1372</v>
      </c>
      <c r="B254" t="s">
        <v>1280</v>
      </c>
      <c r="C254" t="s">
        <v>1300</v>
      </c>
      <c r="D254">
        <v>2025</v>
      </c>
      <c r="E254">
        <v>8.1</v>
      </c>
      <c r="F254">
        <v>7.1</v>
      </c>
      <c r="G254" t="s">
        <v>1315</v>
      </c>
      <c r="H254">
        <v>253</v>
      </c>
    </row>
    <row r="255" spans="1:8">
      <c r="A255" t="s">
        <v>1372</v>
      </c>
      <c r="B255" t="s">
        <v>1280</v>
      </c>
      <c r="C255" t="s">
        <v>1300</v>
      </c>
      <c r="D255">
        <v>2025</v>
      </c>
      <c r="E255">
        <v>8.1</v>
      </c>
      <c r="F255">
        <v>9</v>
      </c>
      <c r="G255" t="s">
        <v>1303</v>
      </c>
      <c r="H255">
        <v>254</v>
      </c>
    </row>
    <row r="256" spans="1:8">
      <c r="A256" t="s">
        <v>1371</v>
      </c>
      <c r="B256" t="s">
        <v>1281</v>
      </c>
      <c r="C256" t="s">
        <v>1310</v>
      </c>
      <c r="D256">
        <v>2022</v>
      </c>
      <c r="E256">
        <v>8.1</v>
      </c>
      <c r="F256">
        <v>4.7</v>
      </c>
      <c r="G256" t="s">
        <v>1315</v>
      </c>
      <c r="H256">
        <v>255</v>
      </c>
    </row>
    <row r="257" spans="1:8">
      <c r="A257" t="s">
        <v>1371</v>
      </c>
      <c r="B257" t="s">
        <v>1281</v>
      </c>
      <c r="C257" t="s">
        <v>1310</v>
      </c>
      <c r="D257">
        <v>2022</v>
      </c>
      <c r="E257">
        <v>8.1</v>
      </c>
      <c r="F257">
        <v>5.2</v>
      </c>
      <c r="G257" t="s">
        <v>1303</v>
      </c>
      <c r="H257">
        <v>256</v>
      </c>
    </row>
    <row r="258" spans="1:8">
      <c r="A258" t="s">
        <v>1359</v>
      </c>
      <c r="B258" t="s">
        <v>167</v>
      </c>
      <c r="C258" t="s">
        <v>1310</v>
      </c>
      <c r="D258">
        <v>2022</v>
      </c>
      <c r="E258">
        <v>8.1</v>
      </c>
      <c r="F258">
        <v>11.7</v>
      </c>
      <c r="G258" t="s">
        <v>1304</v>
      </c>
      <c r="H258">
        <v>257</v>
      </c>
    </row>
    <row r="259" spans="1:8">
      <c r="A259" t="s">
        <v>1370</v>
      </c>
      <c r="B259" t="s">
        <v>485</v>
      </c>
      <c r="C259" t="s">
        <v>1310</v>
      </c>
      <c r="D259">
        <v>2023</v>
      </c>
      <c r="E259">
        <v>8.1</v>
      </c>
      <c r="F259">
        <v>6.3</v>
      </c>
      <c r="G259" t="s">
        <v>1303</v>
      </c>
      <c r="H259">
        <v>258</v>
      </c>
    </row>
    <row r="260" spans="1:8">
      <c r="A260" t="s">
        <v>1353</v>
      </c>
      <c r="B260" t="s">
        <v>167</v>
      </c>
      <c r="C260" t="s">
        <v>1310</v>
      </c>
      <c r="D260">
        <v>2023</v>
      </c>
      <c r="E260">
        <v>8.1</v>
      </c>
      <c r="F260">
        <v>10.6</v>
      </c>
      <c r="G260" t="s">
        <v>1304</v>
      </c>
      <c r="H260">
        <v>259</v>
      </c>
    </row>
    <row r="261" spans="1:8">
      <c r="A261" t="s">
        <v>1352</v>
      </c>
      <c r="B261" t="s">
        <v>183</v>
      </c>
      <c r="C261" t="s">
        <v>1321</v>
      </c>
      <c r="D261">
        <v>2021</v>
      </c>
      <c r="E261">
        <v>8.1</v>
      </c>
      <c r="F261">
        <v>13.6</v>
      </c>
      <c r="G261" t="s">
        <v>1304</v>
      </c>
      <c r="H261">
        <v>260</v>
      </c>
    </row>
    <row r="262" spans="1:8">
      <c r="A262" t="s">
        <v>1355</v>
      </c>
      <c r="B262" t="s">
        <v>183</v>
      </c>
      <c r="C262" t="s">
        <v>1321</v>
      </c>
      <c r="D262">
        <v>2022</v>
      </c>
      <c r="E262">
        <v>8.1</v>
      </c>
      <c r="F262">
        <v>17.3</v>
      </c>
      <c r="G262" t="s">
        <v>1304</v>
      </c>
      <c r="H262">
        <v>261</v>
      </c>
    </row>
    <row r="263" spans="1:8">
      <c r="A263" t="s">
        <v>1355</v>
      </c>
      <c r="B263" t="s">
        <v>183</v>
      </c>
      <c r="C263" t="s">
        <v>1321</v>
      </c>
      <c r="D263">
        <v>2022</v>
      </c>
      <c r="E263">
        <v>8.1</v>
      </c>
      <c r="F263">
        <v>13.3</v>
      </c>
      <c r="G263" t="s">
        <v>1303</v>
      </c>
      <c r="H263">
        <v>262</v>
      </c>
    </row>
    <row r="264" spans="1:8">
      <c r="A264" t="s">
        <v>1366</v>
      </c>
      <c r="B264" t="s">
        <v>126</v>
      </c>
      <c r="C264" t="s">
        <v>1321</v>
      </c>
      <c r="D264">
        <v>2023</v>
      </c>
      <c r="E264">
        <v>8.1</v>
      </c>
      <c r="F264">
        <v>11.5</v>
      </c>
      <c r="G264" t="s">
        <v>1304</v>
      </c>
      <c r="H264">
        <v>263</v>
      </c>
    </row>
    <row r="265" spans="1:8">
      <c r="A265" t="s">
        <v>1342</v>
      </c>
      <c r="B265" t="s">
        <v>183</v>
      </c>
      <c r="C265" t="s">
        <v>1321</v>
      </c>
      <c r="D265">
        <v>2024</v>
      </c>
      <c r="E265">
        <v>8.1</v>
      </c>
      <c r="F265">
        <v>14.2</v>
      </c>
      <c r="G265" t="s">
        <v>1304</v>
      </c>
      <c r="H265">
        <v>264</v>
      </c>
    </row>
    <row r="266" spans="1:8">
      <c r="A266" t="s">
        <v>1338</v>
      </c>
      <c r="B266" t="s">
        <v>183</v>
      </c>
      <c r="C266" t="s">
        <v>1321</v>
      </c>
      <c r="D266">
        <v>2025</v>
      </c>
      <c r="E266">
        <v>8.1</v>
      </c>
      <c r="F266">
        <v>17</v>
      </c>
      <c r="G266" t="s">
        <v>1304</v>
      </c>
      <c r="H266">
        <v>265</v>
      </c>
    </row>
    <row r="267" spans="1:8">
      <c r="A267" t="s">
        <v>1365</v>
      </c>
      <c r="B267" t="s">
        <v>237</v>
      </c>
      <c r="C267" t="s">
        <v>1305</v>
      </c>
      <c r="D267">
        <v>2022</v>
      </c>
      <c r="E267">
        <v>8</v>
      </c>
      <c r="F267">
        <v>5</v>
      </c>
      <c r="G267" t="s">
        <v>1315</v>
      </c>
      <c r="H267">
        <v>266</v>
      </c>
    </row>
    <row r="268" spans="1:8">
      <c r="A268" t="s">
        <v>1349</v>
      </c>
      <c r="B268" t="s">
        <v>183</v>
      </c>
      <c r="C268" t="s">
        <v>1305</v>
      </c>
      <c r="D268">
        <v>2023</v>
      </c>
      <c r="E268">
        <v>8</v>
      </c>
      <c r="F268">
        <v>9.4</v>
      </c>
      <c r="G268" t="s">
        <v>1304</v>
      </c>
      <c r="H268">
        <v>267</v>
      </c>
    </row>
    <row r="269" spans="1:8">
      <c r="A269" t="s">
        <v>1356</v>
      </c>
      <c r="B269" t="s">
        <v>1280</v>
      </c>
      <c r="C269" t="s">
        <v>1305</v>
      </c>
      <c r="D269">
        <v>2025</v>
      </c>
      <c r="E269">
        <v>8</v>
      </c>
      <c r="F269">
        <v>5.6</v>
      </c>
      <c r="G269" t="s">
        <v>1315</v>
      </c>
      <c r="H269">
        <v>268</v>
      </c>
    </row>
    <row r="270" spans="1:8">
      <c r="A270" t="s">
        <v>1369</v>
      </c>
      <c r="B270" t="s">
        <v>57</v>
      </c>
      <c r="C270" t="s">
        <v>1300</v>
      </c>
      <c r="D270">
        <v>2021</v>
      </c>
      <c r="E270">
        <v>8</v>
      </c>
      <c r="F270">
        <v>9.1999999999999993</v>
      </c>
      <c r="G270" t="s">
        <v>1303</v>
      </c>
      <c r="H270">
        <v>269</v>
      </c>
    </row>
    <row r="271" spans="1:8">
      <c r="A271" t="s">
        <v>1369</v>
      </c>
      <c r="B271" t="s">
        <v>57</v>
      </c>
      <c r="C271" t="s">
        <v>1300</v>
      </c>
      <c r="D271">
        <v>2021</v>
      </c>
      <c r="E271">
        <v>8</v>
      </c>
      <c r="F271">
        <v>5.9</v>
      </c>
      <c r="G271" t="s">
        <v>1299</v>
      </c>
      <c r="H271">
        <v>270</v>
      </c>
    </row>
    <row r="272" spans="1:8">
      <c r="A272" t="s">
        <v>1364</v>
      </c>
      <c r="B272" t="s">
        <v>237</v>
      </c>
      <c r="C272" t="s">
        <v>1300</v>
      </c>
      <c r="D272">
        <v>2021</v>
      </c>
      <c r="E272">
        <v>8</v>
      </c>
      <c r="F272">
        <v>5.0999999999999996</v>
      </c>
      <c r="G272" t="s">
        <v>1299</v>
      </c>
      <c r="H272">
        <v>271</v>
      </c>
    </row>
    <row r="273" spans="1:8">
      <c r="A273" t="s">
        <v>1368</v>
      </c>
      <c r="B273" t="s">
        <v>57</v>
      </c>
      <c r="C273" t="s">
        <v>1300</v>
      </c>
      <c r="D273">
        <v>2021</v>
      </c>
      <c r="E273">
        <v>8</v>
      </c>
      <c r="F273">
        <v>7.1</v>
      </c>
      <c r="G273" t="s">
        <v>1299</v>
      </c>
      <c r="H273">
        <v>272</v>
      </c>
    </row>
    <row r="274" spans="1:8">
      <c r="A274" t="s">
        <v>1135</v>
      </c>
      <c r="B274" t="s">
        <v>1280</v>
      </c>
      <c r="C274" t="s">
        <v>1300</v>
      </c>
      <c r="D274">
        <v>2021</v>
      </c>
      <c r="E274">
        <v>8</v>
      </c>
      <c r="F274">
        <v>8.6</v>
      </c>
      <c r="G274" t="s">
        <v>1303</v>
      </c>
      <c r="H274">
        <v>273</v>
      </c>
    </row>
    <row r="275" spans="1:8">
      <c r="A275" t="s">
        <v>1092</v>
      </c>
      <c r="B275" t="s">
        <v>167</v>
      </c>
      <c r="C275" t="s">
        <v>1300</v>
      </c>
      <c r="D275">
        <v>2022</v>
      </c>
      <c r="E275">
        <v>8</v>
      </c>
      <c r="F275">
        <v>15.1</v>
      </c>
      <c r="G275" t="s">
        <v>1303</v>
      </c>
      <c r="H275">
        <v>274</v>
      </c>
    </row>
    <row r="276" spans="1:8">
      <c r="A276" t="s">
        <v>1092</v>
      </c>
      <c r="B276" t="s">
        <v>167</v>
      </c>
      <c r="C276" t="s">
        <v>1300</v>
      </c>
      <c r="D276">
        <v>2022</v>
      </c>
      <c r="E276">
        <v>8</v>
      </c>
      <c r="F276">
        <v>11.8</v>
      </c>
      <c r="G276" t="s">
        <v>1315</v>
      </c>
      <c r="H276">
        <v>275</v>
      </c>
    </row>
    <row r="277" spans="1:8">
      <c r="A277" t="s">
        <v>1355</v>
      </c>
      <c r="B277" t="s">
        <v>183</v>
      </c>
      <c r="C277" t="s">
        <v>1300</v>
      </c>
      <c r="D277">
        <v>2022</v>
      </c>
      <c r="E277">
        <v>8</v>
      </c>
      <c r="F277">
        <v>13.9</v>
      </c>
      <c r="G277" t="s">
        <v>1303</v>
      </c>
      <c r="H277">
        <v>276</v>
      </c>
    </row>
    <row r="278" spans="1:8">
      <c r="A278" t="s">
        <v>1058</v>
      </c>
      <c r="B278" t="s">
        <v>57</v>
      </c>
      <c r="C278" t="s">
        <v>1300</v>
      </c>
      <c r="D278">
        <v>2022</v>
      </c>
      <c r="E278">
        <v>8</v>
      </c>
      <c r="F278">
        <v>10.3</v>
      </c>
      <c r="G278" t="s">
        <v>1304</v>
      </c>
      <c r="H278">
        <v>277</v>
      </c>
    </row>
    <row r="279" spans="1:8">
      <c r="A279" t="s">
        <v>1363</v>
      </c>
      <c r="B279" t="s">
        <v>485</v>
      </c>
      <c r="C279" t="s">
        <v>1300</v>
      </c>
      <c r="D279">
        <v>2023</v>
      </c>
      <c r="E279">
        <v>8</v>
      </c>
      <c r="F279">
        <v>8.9</v>
      </c>
      <c r="G279" t="s">
        <v>1303</v>
      </c>
      <c r="H279">
        <v>278</v>
      </c>
    </row>
    <row r="280" spans="1:8">
      <c r="A280" t="s">
        <v>1367</v>
      </c>
      <c r="B280" t="s">
        <v>126</v>
      </c>
      <c r="C280" t="s">
        <v>1310</v>
      </c>
      <c r="D280">
        <v>2021</v>
      </c>
      <c r="E280">
        <v>8</v>
      </c>
      <c r="F280">
        <v>5.0999999999999996</v>
      </c>
      <c r="G280" t="s">
        <v>1315</v>
      </c>
      <c r="H280">
        <v>279</v>
      </c>
    </row>
    <row r="281" spans="1:8">
      <c r="A281" t="s">
        <v>1367</v>
      </c>
      <c r="B281" t="s">
        <v>126</v>
      </c>
      <c r="C281" t="s">
        <v>1310</v>
      </c>
      <c r="D281">
        <v>2021</v>
      </c>
      <c r="E281">
        <v>8</v>
      </c>
      <c r="F281">
        <v>6.1</v>
      </c>
      <c r="G281" t="s">
        <v>1303</v>
      </c>
      <c r="H281">
        <v>280</v>
      </c>
    </row>
    <row r="282" spans="1:8">
      <c r="A282" t="s">
        <v>1359</v>
      </c>
      <c r="B282" t="s">
        <v>167</v>
      </c>
      <c r="C282" t="s">
        <v>1310</v>
      </c>
      <c r="D282">
        <v>2022</v>
      </c>
      <c r="E282">
        <v>8</v>
      </c>
      <c r="F282">
        <v>6.4</v>
      </c>
      <c r="G282" t="s">
        <v>1299</v>
      </c>
      <c r="H282">
        <v>281</v>
      </c>
    </row>
    <row r="283" spans="1:8">
      <c r="A283" t="s">
        <v>1344</v>
      </c>
      <c r="B283" t="s">
        <v>485</v>
      </c>
      <c r="C283" t="s">
        <v>1310</v>
      </c>
      <c r="D283">
        <v>2024</v>
      </c>
      <c r="E283">
        <v>8</v>
      </c>
      <c r="F283">
        <v>9.4</v>
      </c>
      <c r="G283" t="s">
        <v>1304</v>
      </c>
      <c r="H283">
        <v>282</v>
      </c>
    </row>
    <row r="284" spans="1:8">
      <c r="A284" t="s">
        <v>1355</v>
      </c>
      <c r="B284" t="s">
        <v>183</v>
      </c>
      <c r="C284" t="s">
        <v>1321</v>
      </c>
      <c r="D284">
        <v>2022</v>
      </c>
      <c r="E284">
        <v>8</v>
      </c>
      <c r="F284">
        <v>9.1999999999999993</v>
      </c>
      <c r="G284" t="s">
        <v>1299</v>
      </c>
      <c r="H284">
        <v>283</v>
      </c>
    </row>
    <row r="285" spans="1:8">
      <c r="A285" t="s">
        <v>1366</v>
      </c>
      <c r="B285" t="s">
        <v>126</v>
      </c>
      <c r="C285" t="s">
        <v>1321</v>
      </c>
      <c r="D285">
        <v>2023</v>
      </c>
      <c r="E285">
        <v>8</v>
      </c>
      <c r="F285">
        <v>8.1999999999999993</v>
      </c>
      <c r="G285" t="s">
        <v>1303</v>
      </c>
      <c r="H285">
        <v>284</v>
      </c>
    </row>
    <row r="286" spans="1:8">
      <c r="A286" t="s">
        <v>1366</v>
      </c>
      <c r="B286" t="s">
        <v>126</v>
      </c>
      <c r="C286" t="s">
        <v>1321</v>
      </c>
      <c r="D286">
        <v>2023</v>
      </c>
      <c r="E286">
        <v>8</v>
      </c>
      <c r="F286">
        <v>6.6</v>
      </c>
      <c r="G286" t="s">
        <v>1315</v>
      </c>
      <c r="H286">
        <v>285</v>
      </c>
    </row>
    <row r="287" spans="1:8">
      <c r="A287" t="s">
        <v>661</v>
      </c>
      <c r="B287" t="s">
        <v>183</v>
      </c>
      <c r="C287" t="s">
        <v>1321</v>
      </c>
      <c r="D287">
        <v>2023</v>
      </c>
      <c r="E287">
        <v>8</v>
      </c>
      <c r="F287">
        <v>5.9</v>
      </c>
      <c r="G287" t="s">
        <v>1299</v>
      </c>
      <c r="H287">
        <v>286</v>
      </c>
    </row>
    <row r="288" spans="1:8">
      <c r="A288" t="s">
        <v>1351</v>
      </c>
      <c r="B288" t="s">
        <v>183</v>
      </c>
      <c r="C288" t="s">
        <v>1321</v>
      </c>
      <c r="D288">
        <v>2026</v>
      </c>
      <c r="E288">
        <v>8</v>
      </c>
      <c r="F288">
        <v>14.6</v>
      </c>
      <c r="G288" t="s">
        <v>1303</v>
      </c>
      <c r="H288">
        <v>287</v>
      </c>
    </row>
    <row r="289" spans="1:8">
      <c r="A289" t="s">
        <v>1365</v>
      </c>
      <c r="B289" t="s">
        <v>237</v>
      </c>
      <c r="C289" t="s">
        <v>1305</v>
      </c>
      <c r="D289">
        <v>2022</v>
      </c>
      <c r="E289">
        <v>7.9</v>
      </c>
      <c r="F289">
        <v>6.4</v>
      </c>
      <c r="G289" t="s">
        <v>1303</v>
      </c>
      <c r="H289">
        <v>288</v>
      </c>
    </row>
    <row r="290" spans="1:8">
      <c r="A290" t="s">
        <v>1350</v>
      </c>
      <c r="B290" t="s">
        <v>167</v>
      </c>
      <c r="C290" t="s">
        <v>1305</v>
      </c>
      <c r="D290">
        <v>2023</v>
      </c>
      <c r="E290">
        <v>7.9</v>
      </c>
      <c r="F290">
        <v>8.3000000000000007</v>
      </c>
      <c r="G290" t="s">
        <v>1304</v>
      </c>
      <c r="H290">
        <v>289</v>
      </c>
    </row>
    <row r="291" spans="1:8">
      <c r="A291" t="s">
        <v>1347</v>
      </c>
      <c r="B291" t="s">
        <v>167</v>
      </c>
      <c r="C291" t="s">
        <v>1305</v>
      </c>
      <c r="D291">
        <v>2025</v>
      </c>
      <c r="E291">
        <v>7.9</v>
      </c>
      <c r="F291">
        <v>7.9</v>
      </c>
      <c r="G291" t="s">
        <v>1315</v>
      </c>
      <c r="H291">
        <v>290</v>
      </c>
    </row>
    <row r="292" spans="1:8">
      <c r="A292" t="s">
        <v>1364</v>
      </c>
      <c r="B292" t="s">
        <v>237</v>
      </c>
      <c r="C292" t="s">
        <v>1300</v>
      </c>
      <c r="D292">
        <v>2021</v>
      </c>
      <c r="E292">
        <v>7.9</v>
      </c>
      <c r="F292">
        <v>7.8</v>
      </c>
      <c r="G292" t="s">
        <v>1303</v>
      </c>
      <c r="H292">
        <v>291</v>
      </c>
    </row>
    <row r="293" spans="1:8">
      <c r="A293" t="s">
        <v>1135</v>
      </c>
      <c r="B293" t="s">
        <v>1280</v>
      </c>
      <c r="C293" t="s">
        <v>1300</v>
      </c>
      <c r="D293">
        <v>2021</v>
      </c>
      <c r="E293">
        <v>7.9</v>
      </c>
      <c r="F293">
        <v>6.6</v>
      </c>
      <c r="G293" t="s">
        <v>1299</v>
      </c>
      <c r="H293">
        <v>292</v>
      </c>
    </row>
    <row r="294" spans="1:8">
      <c r="A294" t="s">
        <v>1059</v>
      </c>
      <c r="B294" t="s">
        <v>183</v>
      </c>
      <c r="C294" t="s">
        <v>1300</v>
      </c>
      <c r="D294">
        <v>2022</v>
      </c>
      <c r="E294">
        <v>7.9</v>
      </c>
      <c r="F294">
        <v>10.3</v>
      </c>
      <c r="G294" t="s">
        <v>1303</v>
      </c>
      <c r="H294">
        <v>293</v>
      </c>
    </row>
    <row r="295" spans="1:8">
      <c r="A295" t="s">
        <v>1363</v>
      </c>
      <c r="B295" t="s">
        <v>485</v>
      </c>
      <c r="C295" t="s">
        <v>1300</v>
      </c>
      <c r="D295">
        <v>2023</v>
      </c>
      <c r="E295">
        <v>7.9</v>
      </c>
      <c r="F295">
        <v>5.9</v>
      </c>
      <c r="G295" t="s">
        <v>1299</v>
      </c>
      <c r="H295">
        <v>294</v>
      </c>
    </row>
    <row r="296" spans="1:8">
      <c r="A296" t="s">
        <v>855</v>
      </c>
      <c r="B296" t="s">
        <v>183</v>
      </c>
      <c r="C296" t="s">
        <v>1300</v>
      </c>
      <c r="D296">
        <v>2023</v>
      </c>
      <c r="E296">
        <v>7.9</v>
      </c>
      <c r="F296">
        <v>6.1</v>
      </c>
      <c r="G296" t="s">
        <v>1315</v>
      </c>
      <c r="H296">
        <v>295</v>
      </c>
    </row>
    <row r="297" spans="1:8">
      <c r="A297" t="s">
        <v>1362</v>
      </c>
      <c r="B297" t="s">
        <v>1043</v>
      </c>
      <c r="C297" t="s">
        <v>1300</v>
      </c>
      <c r="D297">
        <v>2024</v>
      </c>
      <c r="E297">
        <v>7.9</v>
      </c>
      <c r="F297">
        <v>7.7</v>
      </c>
      <c r="G297" t="s">
        <v>1299</v>
      </c>
      <c r="H297">
        <v>296</v>
      </c>
    </row>
    <row r="298" spans="1:8">
      <c r="A298" t="s">
        <v>1361</v>
      </c>
      <c r="B298" t="s">
        <v>183</v>
      </c>
      <c r="C298" t="s">
        <v>1300</v>
      </c>
      <c r="D298">
        <v>2024</v>
      </c>
      <c r="E298">
        <v>7.9</v>
      </c>
      <c r="F298">
        <v>10.1</v>
      </c>
      <c r="G298" t="s">
        <v>1299</v>
      </c>
      <c r="H298">
        <v>297</v>
      </c>
    </row>
    <row r="299" spans="1:8">
      <c r="A299" t="s">
        <v>1139</v>
      </c>
      <c r="B299" t="s">
        <v>237</v>
      </c>
      <c r="C299" t="s">
        <v>1310</v>
      </c>
      <c r="D299">
        <v>2021</v>
      </c>
      <c r="E299">
        <v>7.9</v>
      </c>
      <c r="F299">
        <v>7.7</v>
      </c>
      <c r="G299" t="s">
        <v>1304</v>
      </c>
      <c r="H299">
        <v>298</v>
      </c>
    </row>
    <row r="300" spans="1:8">
      <c r="A300" t="s">
        <v>1139</v>
      </c>
      <c r="B300" t="s">
        <v>237</v>
      </c>
      <c r="C300" t="s">
        <v>1310</v>
      </c>
      <c r="D300">
        <v>2021</v>
      </c>
      <c r="E300">
        <v>7.9</v>
      </c>
      <c r="F300">
        <v>5.2</v>
      </c>
      <c r="G300" t="s">
        <v>1315</v>
      </c>
      <c r="H300">
        <v>299</v>
      </c>
    </row>
    <row r="301" spans="1:8">
      <c r="A301" t="s">
        <v>1360</v>
      </c>
      <c r="B301" t="s">
        <v>167</v>
      </c>
      <c r="C301" t="s">
        <v>1310</v>
      </c>
      <c r="D301">
        <v>2021</v>
      </c>
      <c r="E301">
        <v>7.9</v>
      </c>
      <c r="F301">
        <v>5.2</v>
      </c>
      <c r="G301" t="s">
        <v>1315</v>
      </c>
      <c r="H301">
        <v>300</v>
      </c>
    </row>
    <row r="302" spans="1:8">
      <c r="A302" t="s">
        <v>1359</v>
      </c>
      <c r="B302" t="s">
        <v>167</v>
      </c>
      <c r="C302" t="s">
        <v>1310</v>
      </c>
      <c r="D302">
        <v>2022</v>
      </c>
      <c r="E302">
        <v>7.9</v>
      </c>
      <c r="F302">
        <v>9.4</v>
      </c>
      <c r="G302" t="s">
        <v>1303</v>
      </c>
      <c r="H302">
        <v>301</v>
      </c>
    </row>
    <row r="303" spans="1:8">
      <c r="A303" t="s">
        <v>1353</v>
      </c>
      <c r="B303" t="s">
        <v>167</v>
      </c>
      <c r="C303" t="s">
        <v>1310</v>
      </c>
      <c r="D303">
        <v>2023</v>
      </c>
      <c r="E303">
        <v>7.9</v>
      </c>
      <c r="F303">
        <v>5.0999999999999996</v>
      </c>
      <c r="G303" t="s">
        <v>1299</v>
      </c>
      <c r="H303">
        <v>302</v>
      </c>
    </row>
    <row r="304" spans="1:8">
      <c r="A304" t="s">
        <v>1345</v>
      </c>
      <c r="B304" t="s">
        <v>1280</v>
      </c>
      <c r="C304" t="s">
        <v>1310</v>
      </c>
      <c r="D304">
        <v>2024</v>
      </c>
      <c r="E304">
        <v>7.9</v>
      </c>
      <c r="F304">
        <v>8.1999999999999993</v>
      </c>
      <c r="G304" t="s">
        <v>1304</v>
      </c>
      <c r="H304">
        <v>303</v>
      </c>
    </row>
    <row r="305" spans="1:8">
      <c r="A305" t="s">
        <v>1344</v>
      </c>
      <c r="B305" t="s">
        <v>485</v>
      </c>
      <c r="C305" t="s">
        <v>1310</v>
      </c>
      <c r="D305">
        <v>2024</v>
      </c>
      <c r="E305">
        <v>7.9</v>
      </c>
      <c r="F305">
        <v>5.7</v>
      </c>
      <c r="G305" t="s">
        <v>1315</v>
      </c>
      <c r="H305">
        <v>304</v>
      </c>
    </row>
    <row r="306" spans="1:8">
      <c r="A306" t="s">
        <v>1358</v>
      </c>
      <c r="B306" t="s">
        <v>485</v>
      </c>
      <c r="C306" t="s">
        <v>1310</v>
      </c>
      <c r="D306">
        <v>2025</v>
      </c>
      <c r="E306">
        <v>7.9</v>
      </c>
      <c r="F306">
        <v>9.8000000000000007</v>
      </c>
      <c r="G306" t="s">
        <v>1304</v>
      </c>
      <c r="H306">
        <v>305</v>
      </c>
    </row>
    <row r="307" spans="1:8">
      <c r="A307" t="s">
        <v>1358</v>
      </c>
      <c r="B307" t="s">
        <v>485</v>
      </c>
      <c r="C307" t="s">
        <v>1310</v>
      </c>
      <c r="D307">
        <v>2025</v>
      </c>
      <c r="E307">
        <v>7.9</v>
      </c>
      <c r="F307">
        <v>7.8</v>
      </c>
      <c r="G307" t="s">
        <v>1303</v>
      </c>
      <c r="H307">
        <v>306</v>
      </c>
    </row>
    <row r="308" spans="1:8">
      <c r="A308" t="s">
        <v>1357</v>
      </c>
      <c r="B308" t="s">
        <v>485</v>
      </c>
      <c r="C308" t="s">
        <v>1310</v>
      </c>
      <c r="D308">
        <v>2026</v>
      </c>
      <c r="E308">
        <v>7.9</v>
      </c>
      <c r="F308">
        <v>7.9</v>
      </c>
      <c r="G308" t="s">
        <v>1303</v>
      </c>
      <c r="H308">
        <v>307</v>
      </c>
    </row>
    <row r="309" spans="1:8">
      <c r="A309" t="s">
        <v>1343</v>
      </c>
      <c r="B309" t="s">
        <v>57</v>
      </c>
      <c r="C309" t="s">
        <v>1321</v>
      </c>
      <c r="D309">
        <v>2022</v>
      </c>
      <c r="E309">
        <v>7.9</v>
      </c>
      <c r="F309">
        <v>10.1</v>
      </c>
      <c r="G309" t="s">
        <v>1304</v>
      </c>
      <c r="H309">
        <v>308</v>
      </c>
    </row>
    <row r="310" spans="1:8">
      <c r="A310" t="s">
        <v>661</v>
      </c>
      <c r="B310" t="s">
        <v>183</v>
      </c>
      <c r="C310" t="s">
        <v>1321</v>
      </c>
      <c r="D310">
        <v>2023</v>
      </c>
      <c r="E310">
        <v>7.9</v>
      </c>
      <c r="F310">
        <v>7.7</v>
      </c>
      <c r="G310" t="s">
        <v>1303</v>
      </c>
      <c r="H310">
        <v>309</v>
      </c>
    </row>
    <row r="311" spans="1:8">
      <c r="A311" t="s">
        <v>1348</v>
      </c>
      <c r="B311" t="s">
        <v>183</v>
      </c>
      <c r="C311" t="s">
        <v>1321</v>
      </c>
      <c r="D311">
        <v>2024</v>
      </c>
      <c r="E311">
        <v>7.9</v>
      </c>
      <c r="F311">
        <v>13.6</v>
      </c>
      <c r="G311" t="s">
        <v>1303</v>
      </c>
      <c r="H311">
        <v>310</v>
      </c>
    </row>
    <row r="312" spans="1:8">
      <c r="A312" t="s">
        <v>1348</v>
      </c>
      <c r="B312" t="s">
        <v>183</v>
      </c>
      <c r="C312" t="s">
        <v>1321</v>
      </c>
      <c r="D312">
        <v>2024</v>
      </c>
      <c r="E312">
        <v>7.9</v>
      </c>
      <c r="F312">
        <v>8.4</v>
      </c>
      <c r="G312" t="s">
        <v>1299</v>
      </c>
      <c r="H312">
        <v>311</v>
      </c>
    </row>
    <row r="313" spans="1:8">
      <c r="A313" t="s">
        <v>358</v>
      </c>
      <c r="B313" t="s">
        <v>183</v>
      </c>
      <c r="C313" t="s">
        <v>1321</v>
      </c>
      <c r="D313">
        <v>2024</v>
      </c>
      <c r="E313">
        <v>7.9</v>
      </c>
      <c r="F313">
        <v>10.6</v>
      </c>
      <c r="G313" t="s">
        <v>1315</v>
      </c>
      <c r="H313">
        <v>312</v>
      </c>
    </row>
    <row r="314" spans="1:8">
      <c r="A314" t="s">
        <v>1341</v>
      </c>
      <c r="B314" t="s">
        <v>237</v>
      </c>
      <c r="C314" t="s">
        <v>1305</v>
      </c>
      <c r="D314">
        <v>2023</v>
      </c>
      <c r="E314">
        <v>7.8</v>
      </c>
      <c r="F314">
        <v>9</v>
      </c>
      <c r="G314" t="s">
        <v>1304</v>
      </c>
      <c r="H314">
        <v>313</v>
      </c>
    </row>
    <row r="315" spans="1:8">
      <c r="A315" t="s">
        <v>1349</v>
      </c>
      <c r="B315" t="s">
        <v>183</v>
      </c>
      <c r="C315" t="s">
        <v>1305</v>
      </c>
      <c r="D315">
        <v>2023</v>
      </c>
      <c r="E315">
        <v>7.8</v>
      </c>
      <c r="F315">
        <v>7</v>
      </c>
      <c r="G315" t="s">
        <v>1303</v>
      </c>
      <c r="H315">
        <v>314</v>
      </c>
    </row>
    <row r="316" spans="1:8">
      <c r="A316" t="s">
        <v>1348</v>
      </c>
      <c r="B316" t="s">
        <v>183</v>
      </c>
      <c r="C316" t="s">
        <v>1305</v>
      </c>
      <c r="D316">
        <v>2024</v>
      </c>
      <c r="E316">
        <v>7.8</v>
      </c>
      <c r="F316">
        <v>8.9</v>
      </c>
      <c r="G316" t="s">
        <v>1299</v>
      </c>
      <c r="H316">
        <v>315</v>
      </c>
    </row>
    <row r="317" spans="1:8">
      <c r="A317" t="s">
        <v>1356</v>
      </c>
      <c r="B317" t="s">
        <v>1280</v>
      </c>
      <c r="C317" t="s">
        <v>1305</v>
      </c>
      <c r="D317">
        <v>2025</v>
      </c>
      <c r="E317">
        <v>7.8</v>
      </c>
      <c r="F317">
        <v>7.5</v>
      </c>
      <c r="G317" t="s">
        <v>1303</v>
      </c>
      <c r="H317">
        <v>316</v>
      </c>
    </row>
    <row r="318" spans="1:8">
      <c r="A318" t="s">
        <v>1092</v>
      </c>
      <c r="B318" t="s">
        <v>167</v>
      </c>
      <c r="C318" t="s">
        <v>1300</v>
      </c>
      <c r="D318">
        <v>2022</v>
      </c>
      <c r="E318">
        <v>7.8</v>
      </c>
      <c r="F318">
        <v>10.199999999999999</v>
      </c>
      <c r="G318" t="s">
        <v>1299</v>
      </c>
      <c r="H318">
        <v>317</v>
      </c>
    </row>
    <row r="319" spans="1:8">
      <c r="A319" t="s">
        <v>1355</v>
      </c>
      <c r="B319" t="s">
        <v>183</v>
      </c>
      <c r="C319" t="s">
        <v>1300</v>
      </c>
      <c r="D319">
        <v>2022</v>
      </c>
      <c r="E319">
        <v>7.8</v>
      </c>
      <c r="F319">
        <v>9</v>
      </c>
      <c r="G319" t="s">
        <v>1299</v>
      </c>
      <c r="H319">
        <v>318</v>
      </c>
    </row>
    <row r="320" spans="1:8">
      <c r="A320" t="s">
        <v>855</v>
      </c>
      <c r="B320" t="s">
        <v>183</v>
      </c>
      <c r="C320" t="s">
        <v>1300</v>
      </c>
      <c r="D320">
        <v>2023</v>
      </c>
      <c r="E320">
        <v>7.8</v>
      </c>
      <c r="F320">
        <v>7.3</v>
      </c>
      <c r="G320" t="s">
        <v>1303</v>
      </c>
      <c r="H320">
        <v>319</v>
      </c>
    </row>
    <row r="321" spans="1:8">
      <c r="A321" t="s">
        <v>1346</v>
      </c>
      <c r="B321" t="s">
        <v>1043</v>
      </c>
      <c r="C321" t="s">
        <v>1310</v>
      </c>
      <c r="D321">
        <v>2022</v>
      </c>
      <c r="E321">
        <v>7.8</v>
      </c>
      <c r="F321">
        <v>6.8</v>
      </c>
      <c r="G321" t="s">
        <v>1304</v>
      </c>
      <c r="H321">
        <v>320</v>
      </c>
    </row>
    <row r="322" spans="1:8">
      <c r="A322" t="s">
        <v>1346</v>
      </c>
      <c r="B322" t="s">
        <v>1043</v>
      </c>
      <c r="C322" t="s">
        <v>1310</v>
      </c>
      <c r="D322">
        <v>2022</v>
      </c>
      <c r="E322">
        <v>7.8</v>
      </c>
      <c r="F322">
        <v>3.9</v>
      </c>
      <c r="G322" t="s">
        <v>1315</v>
      </c>
      <c r="H322">
        <v>321</v>
      </c>
    </row>
    <row r="323" spans="1:8">
      <c r="A323" t="s">
        <v>1354</v>
      </c>
      <c r="B323" t="s">
        <v>167</v>
      </c>
      <c r="C323" t="s">
        <v>1310</v>
      </c>
      <c r="D323">
        <v>2022</v>
      </c>
      <c r="E323">
        <v>7.8</v>
      </c>
      <c r="F323">
        <v>9.1999999999999993</v>
      </c>
      <c r="G323" t="s">
        <v>1304</v>
      </c>
      <c r="H323">
        <v>322</v>
      </c>
    </row>
    <row r="324" spans="1:8">
      <c r="A324" t="s">
        <v>1354</v>
      </c>
      <c r="B324" t="s">
        <v>167</v>
      </c>
      <c r="C324" t="s">
        <v>1310</v>
      </c>
      <c r="D324">
        <v>2022</v>
      </c>
      <c r="E324">
        <v>7.8</v>
      </c>
      <c r="F324">
        <v>5.8</v>
      </c>
      <c r="G324" t="s">
        <v>1315</v>
      </c>
      <c r="H324">
        <v>323</v>
      </c>
    </row>
    <row r="325" spans="1:8">
      <c r="A325" t="s">
        <v>1354</v>
      </c>
      <c r="B325" t="s">
        <v>167</v>
      </c>
      <c r="C325" t="s">
        <v>1310</v>
      </c>
      <c r="D325">
        <v>2022</v>
      </c>
      <c r="E325">
        <v>7.8</v>
      </c>
      <c r="F325">
        <v>7.4</v>
      </c>
      <c r="G325" t="s">
        <v>1303</v>
      </c>
      <c r="H325">
        <v>324</v>
      </c>
    </row>
    <row r="326" spans="1:8">
      <c r="A326" t="s">
        <v>1353</v>
      </c>
      <c r="B326" t="s">
        <v>167</v>
      </c>
      <c r="C326" t="s">
        <v>1310</v>
      </c>
      <c r="D326">
        <v>2023</v>
      </c>
      <c r="E326">
        <v>7.8</v>
      </c>
      <c r="F326">
        <v>8.6999999999999993</v>
      </c>
      <c r="G326" t="s">
        <v>1303</v>
      </c>
      <c r="H326">
        <v>325</v>
      </c>
    </row>
    <row r="327" spans="1:8">
      <c r="A327" t="s">
        <v>1352</v>
      </c>
      <c r="B327" t="s">
        <v>183</v>
      </c>
      <c r="C327" t="s">
        <v>1321</v>
      </c>
      <c r="D327">
        <v>2021</v>
      </c>
      <c r="E327">
        <v>7.8</v>
      </c>
      <c r="F327">
        <v>10.7</v>
      </c>
      <c r="G327" t="s">
        <v>1303</v>
      </c>
      <c r="H327">
        <v>326</v>
      </c>
    </row>
    <row r="328" spans="1:8">
      <c r="A328" t="s">
        <v>1352</v>
      </c>
      <c r="B328" t="s">
        <v>183</v>
      </c>
      <c r="C328" t="s">
        <v>1321</v>
      </c>
      <c r="D328">
        <v>2021</v>
      </c>
      <c r="E328">
        <v>7.8</v>
      </c>
      <c r="F328">
        <v>7.3</v>
      </c>
      <c r="G328" t="s">
        <v>1299</v>
      </c>
      <c r="H328">
        <v>327</v>
      </c>
    </row>
    <row r="329" spans="1:8">
      <c r="A329" t="s">
        <v>1343</v>
      </c>
      <c r="B329" t="s">
        <v>57</v>
      </c>
      <c r="C329" t="s">
        <v>1321</v>
      </c>
      <c r="D329">
        <v>2022</v>
      </c>
      <c r="E329">
        <v>7.8</v>
      </c>
      <c r="F329">
        <v>7.8</v>
      </c>
      <c r="G329" t="s">
        <v>1303</v>
      </c>
      <c r="H329">
        <v>328</v>
      </c>
    </row>
    <row r="330" spans="1:8">
      <c r="A330" t="s">
        <v>1339</v>
      </c>
      <c r="B330" t="s">
        <v>183</v>
      </c>
      <c r="C330" t="s">
        <v>1321</v>
      </c>
      <c r="D330">
        <v>2022</v>
      </c>
      <c r="E330">
        <v>7.8</v>
      </c>
      <c r="F330">
        <v>16.2</v>
      </c>
      <c r="G330" t="s">
        <v>1304</v>
      </c>
      <c r="H330">
        <v>329</v>
      </c>
    </row>
    <row r="331" spans="1:8">
      <c r="A331" t="s">
        <v>358</v>
      </c>
      <c r="B331" t="s">
        <v>183</v>
      </c>
      <c r="C331" t="s">
        <v>1321</v>
      </c>
      <c r="D331">
        <v>2024</v>
      </c>
      <c r="E331">
        <v>7.8</v>
      </c>
      <c r="F331">
        <v>16.2</v>
      </c>
      <c r="G331" t="s">
        <v>1304</v>
      </c>
      <c r="H331">
        <v>330</v>
      </c>
    </row>
    <row r="332" spans="1:8">
      <c r="A332" t="s">
        <v>1338</v>
      </c>
      <c r="B332" t="s">
        <v>183</v>
      </c>
      <c r="C332" t="s">
        <v>1321</v>
      </c>
      <c r="D332">
        <v>2025</v>
      </c>
      <c r="E332">
        <v>7.8</v>
      </c>
      <c r="F332">
        <v>13.4</v>
      </c>
      <c r="G332" t="s">
        <v>1303</v>
      </c>
      <c r="H332">
        <v>331</v>
      </c>
    </row>
    <row r="333" spans="1:8">
      <c r="A333" t="s">
        <v>1351</v>
      </c>
      <c r="B333" t="s">
        <v>183</v>
      </c>
      <c r="C333" t="s">
        <v>1321</v>
      </c>
      <c r="D333">
        <v>2026</v>
      </c>
      <c r="E333">
        <v>7.8</v>
      </c>
      <c r="F333">
        <v>9.6999999999999993</v>
      </c>
      <c r="G333" t="s">
        <v>1299</v>
      </c>
      <c r="H333">
        <v>332</v>
      </c>
    </row>
    <row r="334" spans="1:8">
      <c r="A334" t="s">
        <v>1331</v>
      </c>
      <c r="B334" t="s">
        <v>183</v>
      </c>
      <c r="C334" t="s">
        <v>1305</v>
      </c>
      <c r="D334">
        <v>2021</v>
      </c>
      <c r="E334">
        <v>7.7</v>
      </c>
      <c r="F334">
        <v>7.5</v>
      </c>
      <c r="G334" t="s">
        <v>1304</v>
      </c>
      <c r="H334">
        <v>333</v>
      </c>
    </row>
    <row r="335" spans="1:8">
      <c r="A335" t="s">
        <v>1350</v>
      </c>
      <c r="B335" t="s">
        <v>167</v>
      </c>
      <c r="C335" t="s">
        <v>1305</v>
      </c>
      <c r="D335">
        <v>2023</v>
      </c>
      <c r="E335">
        <v>7.7</v>
      </c>
      <c r="F335">
        <v>7</v>
      </c>
      <c r="G335" t="s">
        <v>1303</v>
      </c>
      <c r="H335">
        <v>334</v>
      </c>
    </row>
    <row r="336" spans="1:8">
      <c r="A336" t="s">
        <v>1349</v>
      </c>
      <c r="B336" t="s">
        <v>183</v>
      </c>
      <c r="C336" t="s">
        <v>1305</v>
      </c>
      <c r="D336">
        <v>2023</v>
      </c>
      <c r="E336">
        <v>7.7</v>
      </c>
      <c r="F336">
        <v>4.8</v>
      </c>
      <c r="G336" t="s">
        <v>1299</v>
      </c>
      <c r="H336">
        <v>335</v>
      </c>
    </row>
    <row r="337" spans="1:8">
      <c r="A337" t="s">
        <v>1348</v>
      </c>
      <c r="B337" t="s">
        <v>183</v>
      </c>
      <c r="C337" t="s">
        <v>1305</v>
      </c>
      <c r="D337">
        <v>2024</v>
      </c>
      <c r="E337">
        <v>7.7</v>
      </c>
      <c r="F337">
        <v>13.7</v>
      </c>
      <c r="G337" t="s">
        <v>1303</v>
      </c>
      <c r="H337">
        <v>336</v>
      </c>
    </row>
    <row r="338" spans="1:8">
      <c r="A338" t="s">
        <v>1347</v>
      </c>
      <c r="B338" t="s">
        <v>167</v>
      </c>
      <c r="C338" t="s">
        <v>1305</v>
      </c>
      <c r="D338">
        <v>2025</v>
      </c>
      <c r="E338">
        <v>7.7</v>
      </c>
      <c r="F338">
        <v>8.8000000000000007</v>
      </c>
      <c r="G338" t="s">
        <v>1303</v>
      </c>
      <c r="H338">
        <v>337</v>
      </c>
    </row>
    <row r="339" spans="1:8">
      <c r="A339" t="s">
        <v>1340</v>
      </c>
      <c r="B339" t="s">
        <v>1046</v>
      </c>
      <c r="C339" t="s">
        <v>1300</v>
      </c>
      <c r="D339">
        <v>2021</v>
      </c>
      <c r="E339">
        <v>7.7</v>
      </c>
      <c r="F339">
        <v>8.1999999999999993</v>
      </c>
      <c r="G339" t="s">
        <v>1304</v>
      </c>
      <c r="H339">
        <v>338</v>
      </c>
    </row>
    <row r="340" spans="1:8">
      <c r="A340" t="s">
        <v>1340</v>
      </c>
      <c r="B340" t="s">
        <v>1046</v>
      </c>
      <c r="C340" t="s">
        <v>1300</v>
      </c>
      <c r="D340">
        <v>2021</v>
      </c>
      <c r="E340">
        <v>7.7</v>
      </c>
      <c r="F340">
        <v>7.1</v>
      </c>
      <c r="G340" t="s">
        <v>1303</v>
      </c>
      <c r="H340">
        <v>339</v>
      </c>
    </row>
    <row r="341" spans="1:8">
      <c r="A341" t="s">
        <v>1058</v>
      </c>
      <c r="B341" t="s">
        <v>57</v>
      </c>
      <c r="C341" t="s">
        <v>1300</v>
      </c>
      <c r="D341">
        <v>2022</v>
      </c>
      <c r="E341">
        <v>7.7</v>
      </c>
      <c r="F341">
        <v>7.9</v>
      </c>
      <c r="G341" t="s">
        <v>1303</v>
      </c>
      <c r="H341">
        <v>340</v>
      </c>
    </row>
    <row r="342" spans="1:8">
      <c r="A342" t="s">
        <v>1346</v>
      </c>
      <c r="B342" t="s">
        <v>1043</v>
      </c>
      <c r="C342" t="s">
        <v>1310</v>
      </c>
      <c r="D342">
        <v>2022</v>
      </c>
      <c r="E342">
        <v>7.7</v>
      </c>
      <c r="F342">
        <v>5.8</v>
      </c>
      <c r="G342" t="s">
        <v>1303</v>
      </c>
      <c r="H342">
        <v>341</v>
      </c>
    </row>
    <row r="343" spans="1:8">
      <c r="A343" t="s">
        <v>1345</v>
      </c>
      <c r="B343" t="s">
        <v>1280</v>
      </c>
      <c r="C343" t="s">
        <v>1310</v>
      </c>
      <c r="D343">
        <v>2024</v>
      </c>
      <c r="E343">
        <v>7.7</v>
      </c>
      <c r="F343">
        <v>5.0999999999999996</v>
      </c>
      <c r="G343" t="s">
        <v>1315</v>
      </c>
      <c r="H343">
        <v>342</v>
      </c>
    </row>
    <row r="344" spans="1:8">
      <c r="A344" t="s">
        <v>1345</v>
      </c>
      <c r="B344" t="s">
        <v>1280</v>
      </c>
      <c r="C344" t="s">
        <v>1310</v>
      </c>
      <c r="D344">
        <v>2024</v>
      </c>
      <c r="E344">
        <v>7.7</v>
      </c>
      <c r="F344">
        <v>5.4</v>
      </c>
      <c r="G344" t="s">
        <v>1303</v>
      </c>
      <c r="H344">
        <v>343</v>
      </c>
    </row>
    <row r="345" spans="1:8">
      <c r="A345" t="s">
        <v>1344</v>
      </c>
      <c r="B345" t="s">
        <v>485</v>
      </c>
      <c r="C345" t="s">
        <v>1310</v>
      </c>
      <c r="D345">
        <v>2024</v>
      </c>
      <c r="E345">
        <v>7.7</v>
      </c>
      <c r="F345">
        <v>7.5</v>
      </c>
      <c r="G345" t="s">
        <v>1303</v>
      </c>
      <c r="H345">
        <v>344</v>
      </c>
    </row>
    <row r="346" spans="1:8">
      <c r="A346" t="s">
        <v>1337</v>
      </c>
      <c r="B346" t="s">
        <v>1046</v>
      </c>
      <c r="C346" t="s">
        <v>1321</v>
      </c>
      <c r="D346">
        <v>2021</v>
      </c>
      <c r="E346">
        <v>7.7</v>
      </c>
      <c r="F346">
        <v>9.8000000000000007</v>
      </c>
      <c r="G346" t="s">
        <v>1304</v>
      </c>
      <c r="H346">
        <v>345</v>
      </c>
    </row>
    <row r="347" spans="1:8">
      <c r="A347" t="s">
        <v>1332</v>
      </c>
      <c r="B347" t="s">
        <v>183</v>
      </c>
      <c r="C347" t="s">
        <v>1321</v>
      </c>
      <c r="D347">
        <v>2021</v>
      </c>
      <c r="E347">
        <v>7.7</v>
      </c>
      <c r="F347">
        <v>16.100000000000001</v>
      </c>
      <c r="G347" t="s">
        <v>1304</v>
      </c>
      <c r="H347">
        <v>346</v>
      </c>
    </row>
    <row r="348" spans="1:8">
      <c r="A348" t="s">
        <v>1343</v>
      </c>
      <c r="B348" t="s">
        <v>57</v>
      </c>
      <c r="C348" t="s">
        <v>1321</v>
      </c>
      <c r="D348">
        <v>2022</v>
      </c>
      <c r="E348">
        <v>7.7</v>
      </c>
      <c r="F348">
        <v>5.8</v>
      </c>
      <c r="G348" t="s">
        <v>1299</v>
      </c>
      <c r="H348">
        <v>347</v>
      </c>
    </row>
    <row r="349" spans="1:8">
      <c r="A349" t="s">
        <v>1323</v>
      </c>
      <c r="B349" t="s">
        <v>1046</v>
      </c>
      <c r="C349" t="s">
        <v>1321</v>
      </c>
      <c r="D349">
        <v>2023</v>
      </c>
      <c r="E349">
        <v>7.7</v>
      </c>
      <c r="F349">
        <v>10.1</v>
      </c>
      <c r="G349" t="s">
        <v>1304</v>
      </c>
      <c r="H349">
        <v>348</v>
      </c>
    </row>
    <row r="350" spans="1:8">
      <c r="A350" t="s">
        <v>1336</v>
      </c>
      <c r="B350" t="s">
        <v>183</v>
      </c>
      <c r="C350" t="s">
        <v>1321</v>
      </c>
      <c r="D350">
        <v>2023</v>
      </c>
      <c r="E350">
        <v>7.7</v>
      </c>
      <c r="F350">
        <v>12.6</v>
      </c>
      <c r="G350" t="s">
        <v>1304</v>
      </c>
      <c r="H350">
        <v>349</v>
      </c>
    </row>
    <row r="351" spans="1:8">
      <c r="A351" t="s">
        <v>1342</v>
      </c>
      <c r="B351" t="s">
        <v>183</v>
      </c>
      <c r="C351" t="s">
        <v>1321</v>
      </c>
      <c r="D351">
        <v>2024</v>
      </c>
      <c r="E351">
        <v>7.7</v>
      </c>
      <c r="F351">
        <v>11.1</v>
      </c>
      <c r="G351" t="s">
        <v>1303</v>
      </c>
      <c r="H351">
        <v>350</v>
      </c>
    </row>
    <row r="352" spans="1:8">
      <c r="A352" t="s">
        <v>1342</v>
      </c>
      <c r="B352" t="s">
        <v>183</v>
      </c>
      <c r="C352" t="s">
        <v>1321</v>
      </c>
      <c r="D352">
        <v>2024</v>
      </c>
      <c r="E352">
        <v>7.7</v>
      </c>
      <c r="F352">
        <v>6.8</v>
      </c>
      <c r="G352" t="s">
        <v>1299</v>
      </c>
      <c r="H352">
        <v>351</v>
      </c>
    </row>
    <row r="353" spans="1:8">
      <c r="A353" t="s">
        <v>358</v>
      </c>
      <c r="B353" t="s">
        <v>183</v>
      </c>
      <c r="C353" t="s">
        <v>1321</v>
      </c>
      <c r="D353">
        <v>2024</v>
      </c>
      <c r="E353">
        <v>7.7</v>
      </c>
      <c r="F353">
        <v>9.1</v>
      </c>
      <c r="G353" t="s">
        <v>1299</v>
      </c>
      <c r="H353">
        <v>352</v>
      </c>
    </row>
    <row r="354" spans="1:8">
      <c r="A354" t="s">
        <v>1328</v>
      </c>
      <c r="B354" t="s">
        <v>167</v>
      </c>
      <c r="C354" t="s">
        <v>1305</v>
      </c>
      <c r="D354">
        <v>2021</v>
      </c>
      <c r="E354">
        <v>7.6</v>
      </c>
      <c r="F354">
        <v>9.3000000000000007</v>
      </c>
      <c r="G354" t="s">
        <v>1304</v>
      </c>
      <c r="H354">
        <v>353</v>
      </c>
    </row>
    <row r="355" spans="1:8">
      <c r="A355" t="s">
        <v>1341</v>
      </c>
      <c r="B355" t="s">
        <v>237</v>
      </c>
      <c r="C355" t="s">
        <v>1305</v>
      </c>
      <c r="D355">
        <v>2023</v>
      </c>
      <c r="E355">
        <v>7.6</v>
      </c>
      <c r="F355">
        <v>7.4</v>
      </c>
      <c r="G355" t="s">
        <v>1303</v>
      </c>
      <c r="H355">
        <v>354</v>
      </c>
    </row>
    <row r="356" spans="1:8">
      <c r="A356" t="s">
        <v>1341</v>
      </c>
      <c r="B356" t="s">
        <v>237</v>
      </c>
      <c r="C356" t="s">
        <v>1305</v>
      </c>
      <c r="D356">
        <v>2023</v>
      </c>
      <c r="E356">
        <v>7.6</v>
      </c>
      <c r="F356">
        <v>6.3</v>
      </c>
      <c r="G356" t="s">
        <v>1315</v>
      </c>
      <c r="H356">
        <v>355</v>
      </c>
    </row>
    <row r="357" spans="1:8">
      <c r="A357" t="s">
        <v>1335</v>
      </c>
      <c r="B357" t="s">
        <v>485</v>
      </c>
      <c r="C357" t="s">
        <v>1305</v>
      </c>
      <c r="D357">
        <v>2024</v>
      </c>
      <c r="E357">
        <v>7.6</v>
      </c>
      <c r="F357">
        <v>8</v>
      </c>
      <c r="G357" t="s">
        <v>1304</v>
      </c>
      <c r="H357">
        <v>356</v>
      </c>
    </row>
    <row r="358" spans="1:8">
      <c r="A358" t="s">
        <v>1340</v>
      </c>
      <c r="B358" t="s">
        <v>1046</v>
      </c>
      <c r="C358" t="s">
        <v>1300</v>
      </c>
      <c r="D358">
        <v>2021</v>
      </c>
      <c r="E358">
        <v>7.6</v>
      </c>
      <c r="F358">
        <v>5.4</v>
      </c>
      <c r="G358" t="s">
        <v>1315</v>
      </c>
      <c r="H358">
        <v>357</v>
      </c>
    </row>
    <row r="359" spans="1:8">
      <c r="A359" t="s">
        <v>1058</v>
      </c>
      <c r="B359" t="s">
        <v>57</v>
      </c>
      <c r="C359" t="s">
        <v>1300</v>
      </c>
      <c r="D359">
        <v>2022</v>
      </c>
      <c r="E359">
        <v>7.6</v>
      </c>
      <c r="F359">
        <v>5.5</v>
      </c>
      <c r="G359" t="s">
        <v>1299</v>
      </c>
      <c r="H359">
        <v>358</v>
      </c>
    </row>
    <row r="360" spans="1:8">
      <c r="A360" t="s">
        <v>1139</v>
      </c>
      <c r="B360" t="s">
        <v>237</v>
      </c>
      <c r="C360" t="s">
        <v>1310</v>
      </c>
      <c r="D360">
        <v>2021</v>
      </c>
      <c r="E360">
        <v>7.6</v>
      </c>
      <c r="F360">
        <v>6.4</v>
      </c>
      <c r="G360" t="s">
        <v>1303</v>
      </c>
      <c r="H360">
        <v>359</v>
      </c>
    </row>
    <row r="361" spans="1:8">
      <c r="A361" t="s">
        <v>1330</v>
      </c>
      <c r="B361" t="s">
        <v>167</v>
      </c>
      <c r="C361" t="s">
        <v>1310</v>
      </c>
      <c r="D361">
        <v>2022</v>
      </c>
      <c r="E361">
        <v>7.6</v>
      </c>
      <c r="F361">
        <v>8.4</v>
      </c>
      <c r="G361" t="s">
        <v>1304</v>
      </c>
      <c r="H361">
        <v>360</v>
      </c>
    </row>
    <row r="362" spans="1:8">
      <c r="A362" t="s">
        <v>1334</v>
      </c>
      <c r="B362" t="s">
        <v>167</v>
      </c>
      <c r="C362" t="s">
        <v>1310</v>
      </c>
      <c r="D362">
        <v>2024</v>
      </c>
      <c r="E362">
        <v>7.6</v>
      </c>
      <c r="F362">
        <v>7.9</v>
      </c>
      <c r="G362" t="s">
        <v>1304</v>
      </c>
      <c r="H362">
        <v>361</v>
      </c>
    </row>
    <row r="363" spans="1:8">
      <c r="A363" t="s">
        <v>1334</v>
      </c>
      <c r="B363" t="s">
        <v>167</v>
      </c>
      <c r="C363" t="s">
        <v>1310</v>
      </c>
      <c r="D363">
        <v>2024</v>
      </c>
      <c r="E363">
        <v>7.6</v>
      </c>
      <c r="F363">
        <v>4.5</v>
      </c>
      <c r="G363" t="s">
        <v>1315</v>
      </c>
      <c r="H363">
        <v>362</v>
      </c>
    </row>
    <row r="364" spans="1:8">
      <c r="A364" t="s">
        <v>1329</v>
      </c>
      <c r="B364" t="s">
        <v>183</v>
      </c>
      <c r="C364" t="s">
        <v>1310</v>
      </c>
      <c r="D364">
        <v>2025</v>
      </c>
      <c r="E364">
        <v>7.6</v>
      </c>
      <c r="F364">
        <v>8.4</v>
      </c>
      <c r="G364" t="s">
        <v>1304</v>
      </c>
      <c r="H364">
        <v>363</v>
      </c>
    </row>
    <row r="365" spans="1:8">
      <c r="A365" t="s">
        <v>1333</v>
      </c>
      <c r="B365" t="s">
        <v>183</v>
      </c>
      <c r="C365" t="s">
        <v>1321</v>
      </c>
      <c r="D365">
        <v>2021</v>
      </c>
      <c r="E365">
        <v>7.6</v>
      </c>
      <c r="F365">
        <v>13.7</v>
      </c>
      <c r="G365" t="s">
        <v>1304</v>
      </c>
      <c r="H365">
        <v>364</v>
      </c>
    </row>
    <row r="366" spans="1:8">
      <c r="A366" t="s">
        <v>1325</v>
      </c>
      <c r="B366" t="s">
        <v>1046</v>
      </c>
      <c r="C366" t="s">
        <v>1321</v>
      </c>
      <c r="D366">
        <v>2021</v>
      </c>
      <c r="E366">
        <v>7.6</v>
      </c>
      <c r="F366">
        <v>12</v>
      </c>
      <c r="G366" t="s">
        <v>1304</v>
      </c>
      <c r="H366">
        <v>365</v>
      </c>
    </row>
    <row r="367" spans="1:8">
      <c r="A367" t="s">
        <v>1339</v>
      </c>
      <c r="B367" t="s">
        <v>183</v>
      </c>
      <c r="C367" t="s">
        <v>1321</v>
      </c>
      <c r="D367">
        <v>2022</v>
      </c>
      <c r="E367">
        <v>7.6</v>
      </c>
      <c r="F367">
        <v>12.9</v>
      </c>
      <c r="G367" t="s">
        <v>1303</v>
      </c>
      <c r="H367">
        <v>366</v>
      </c>
    </row>
    <row r="368" spans="1:8">
      <c r="A368" t="s">
        <v>1339</v>
      </c>
      <c r="B368" t="s">
        <v>183</v>
      </c>
      <c r="C368" t="s">
        <v>1321</v>
      </c>
      <c r="D368">
        <v>2022</v>
      </c>
      <c r="E368">
        <v>7.6</v>
      </c>
      <c r="F368">
        <v>8.5</v>
      </c>
      <c r="G368" t="s">
        <v>1299</v>
      </c>
      <c r="H368">
        <v>367</v>
      </c>
    </row>
    <row r="369" spans="1:8">
      <c r="A369" t="s">
        <v>1336</v>
      </c>
      <c r="B369" t="s">
        <v>183</v>
      </c>
      <c r="C369" t="s">
        <v>1321</v>
      </c>
      <c r="D369">
        <v>2023</v>
      </c>
      <c r="E369">
        <v>7.6</v>
      </c>
      <c r="F369">
        <v>10.3</v>
      </c>
      <c r="G369" t="s">
        <v>1303</v>
      </c>
      <c r="H369">
        <v>368</v>
      </c>
    </row>
    <row r="370" spans="1:8">
      <c r="A370" t="s">
        <v>358</v>
      </c>
      <c r="B370" t="s">
        <v>183</v>
      </c>
      <c r="C370" t="s">
        <v>1321</v>
      </c>
      <c r="D370">
        <v>2024</v>
      </c>
      <c r="E370">
        <v>7.6</v>
      </c>
      <c r="F370">
        <v>12.1</v>
      </c>
      <c r="G370" t="s">
        <v>1303</v>
      </c>
      <c r="H370">
        <v>369</v>
      </c>
    </row>
    <row r="371" spans="1:8">
      <c r="A371" t="s">
        <v>1338</v>
      </c>
      <c r="B371" t="s">
        <v>183</v>
      </c>
      <c r="C371" t="s">
        <v>1321</v>
      </c>
      <c r="D371">
        <v>2025</v>
      </c>
      <c r="E371">
        <v>7.6</v>
      </c>
      <c r="F371">
        <v>9.6</v>
      </c>
      <c r="G371" t="s">
        <v>1299</v>
      </c>
      <c r="H371">
        <v>370</v>
      </c>
    </row>
    <row r="372" spans="1:8">
      <c r="A372" t="s">
        <v>1037</v>
      </c>
      <c r="B372" t="s">
        <v>1046</v>
      </c>
      <c r="C372" t="s">
        <v>1305</v>
      </c>
      <c r="D372">
        <v>2021</v>
      </c>
      <c r="E372">
        <v>7.5</v>
      </c>
      <c r="F372">
        <v>8.1</v>
      </c>
      <c r="G372" t="s">
        <v>1304</v>
      </c>
      <c r="H372">
        <v>371</v>
      </c>
    </row>
    <row r="373" spans="1:8">
      <c r="A373" t="s">
        <v>1331</v>
      </c>
      <c r="B373" t="s">
        <v>183</v>
      </c>
      <c r="C373" t="s">
        <v>1305</v>
      </c>
      <c r="D373">
        <v>2021</v>
      </c>
      <c r="E373">
        <v>7.5</v>
      </c>
      <c r="F373">
        <v>5.8</v>
      </c>
      <c r="G373" t="s">
        <v>1303</v>
      </c>
      <c r="H373">
        <v>372</v>
      </c>
    </row>
    <row r="374" spans="1:8">
      <c r="A374" t="s">
        <v>1317</v>
      </c>
      <c r="B374" t="s">
        <v>183</v>
      </c>
      <c r="C374" t="s">
        <v>1305</v>
      </c>
      <c r="D374">
        <v>2022</v>
      </c>
      <c r="E374">
        <v>7.5</v>
      </c>
      <c r="F374">
        <v>10.7</v>
      </c>
      <c r="G374" t="s">
        <v>1304</v>
      </c>
      <c r="H374">
        <v>373</v>
      </c>
    </row>
    <row r="375" spans="1:8">
      <c r="A375" t="s">
        <v>1330</v>
      </c>
      <c r="B375" t="s">
        <v>167</v>
      </c>
      <c r="C375" t="s">
        <v>1310</v>
      </c>
      <c r="D375">
        <v>2022</v>
      </c>
      <c r="E375">
        <v>7.5</v>
      </c>
      <c r="F375">
        <v>7.6</v>
      </c>
      <c r="G375" t="s">
        <v>1303</v>
      </c>
      <c r="H375">
        <v>374</v>
      </c>
    </row>
    <row r="376" spans="1:8">
      <c r="A376" t="s">
        <v>1329</v>
      </c>
      <c r="B376" t="s">
        <v>183</v>
      </c>
      <c r="C376" t="s">
        <v>1310</v>
      </c>
      <c r="D376">
        <v>2025</v>
      </c>
      <c r="E376">
        <v>7.5</v>
      </c>
      <c r="F376">
        <v>4.8</v>
      </c>
      <c r="G376" t="s">
        <v>1315</v>
      </c>
      <c r="H376">
        <v>375</v>
      </c>
    </row>
    <row r="377" spans="1:8">
      <c r="A377" t="s">
        <v>1337</v>
      </c>
      <c r="B377" t="s">
        <v>1046</v>
      </c>
      <c r="C377" t="s">
        <v>1321</v>
      </c>
      <c r="D377">
        <v>2021</v>
      </c>
      <c r="E377">
        <v>7.5</v>
      </c>
      <c r="F377">
        <v>7.1</v>
      </c>
      <c r="G377" t="s">
        <v>1303</v>
      </c>
      <c r="H377">
        <v>376</v>
      </c>
    </row>
    <row r="378" spans="1:8">
      <c r="A378" t="s">
        <v>1337</v>
      </c>
      <c r="B378" t="s">
        <v>1046</v>
      </c>
      <c r="C378" t="s">
        <v>1321</v>
      </c>
      <c r="D378">
        <v>2021</v>
      </c>
      <c r="E378">
        <v>7.5</v>
      </c>
      <c r="F378">
        <v>6.3</v>
      </c>
      <c r="G378" t="s">
        <v>1315</v>
      </c>
      <c r="H378">
        <v>377</v>
      </c>
    </row>
    <row r="379" spans="1:8">
      <c r="A379" t="s">
        <v>1332</v>
      </c>
      <c r="B379" t="s">
        <v>183</v>
      </c>
      <c r="C379" t="s">
        <v>1321</v>
      </c>
      <c r="D379">
        <v>2021</v>
      </c>
      <c r="E379">
        <v>7.5</v>
      </c>
      <c r="F379">
        <v>13.2</v>
      </c>
      <c r="G379" t="s">
        <v>1303</v>
      </c>
      <c r="H379">
        <v>378</v>
      </c>
    </row>
    <row r="380" spans="1:8">
      <c r="A380" t="s">
        <v>1324</v>
      </c>
      <c r="B380" t="s">
        <v>57</v>
      </c>
      <c r="C380" t="s">
        <v>1321</v>
      </c>
      <c r="D380">
        <v>2022</v>
      </c>
      <c r="E380">
        <v>7.5</v>
      </c>
      <c r="F380">
        <v>11.1</v>
      </c>
      <c r="G380" t="s">
        <v>1304</v>
      </c>
      <c r="H380">
        <v>379</v>
      </c>
    </row>
    <row r="381" spans="1:8">
      <c r="A381" t="s">
        <v>1336</v>
      </c>
      <c r="B381" t="s">
        <v>183</v>
      </c>
      <c r="C381" t="s">
        <v>1321</v>
      </c>
      <c r="D381">
        <v>2023</v>
      </c>
      <c r="E381">
        <v>7.5</v>
      </c>
      <c r="F381">
        <v>7.2</v>
      </c>
      <c r="G381" t="s">
        <v>1299</v>
      </c>
      <c r="H381">
        <v>380</v>
      </c>
    </row>
    <row r="382" spans="1:8">
      <c r="A382" t="s">
        <v>1320</v>
      </c>
      <c r="B382" t="s">
        <v>183</v>
      </c>
      <c r="C382" t="s">
        <v>1305</v>
      </c>
      <c r="D382">
        <v>2021</v>
      </c>
      <c r="E382">
        <v>7.4</v>
      </c>
      <c r="F382">
        <v>9.6</v>
      </c>
      <c r="G382" t="s">
        <v>1304</v>
      </c>
      <c r="H382">
        <v>381</v>
      </c>
    </row>
    <row r="383" spans="1:8">
      <c r="A383" t="s">
        <v>1037</v>
      </c>
      <c r="B383" t="s">
        <v>1046</v>
      </c>
      <c r="C383" t="s">
        <v>1305</v>
      </c>
      <c r="D383">
        <v>2021</v>
      </c>
      <c r="E383">
        <v>7.4</v>
      </c>
      <c r="F383">
        <v>5</v>
      </c>
      <c r="G383" t="s">
        <v>1315</v>
      </c>
      <c r="H383">
        <v>382</v>
      </c>
    </row>
    <row r="384" spans="1:8">
      <c r="A384" t="s">
        <v>1328</v>
      </c>
      <c r="B384" t="s">
        <v>167</v>
      </c>
      <c r="C384" t="s">
        <v>1305</v>
      </c>
      <c r="D384">
        <v>2021</v>
      </c>
      <c r="E384">
        <v>7.4</v>
      </c>
      <c r="F384">
        <v>7.7</v>
      </c>
      <c r="G384" t="s">
        <v>1303</v>
      </c>
      <c r="H384">
        <v>383</v>
      </c>
    </row>
    <row r="385" spans="1:8">
      <c r="A385" t="s">
        <v>1335</v>
      </c>
      <c r="B385" t="s">
        <v>485</v>
      </c>
      <c r="C385" t="s">
        <v>1305</v>
      </c>
      <c r="D385">
        <v>2024</v>
      </c>
      <c r="E385">
        <v>7.4</v>
      </c>
      <c r="F385">
        <v>6.3</v>
      </c>
      <c r="G385" t="s">
        <v>1303</v>
      </c>
      <c r="H385">
        <v>384</v>
      </c>
    </row>
    <row r="386" spans="1:8">
      <c r="A386" t="s">
        <v>1326</v>
      </c>
      <c r="B386" t="s">
        <v>183</v>
      </c>
      <c r="C386" t="s">
        <v>1310</v>
      </c>
      <c r="D386">
        <v>2024</v>
      </c>
      <c r="E386">
        <v>7.4</v>
      </c>
      <c r="F386">
        <v>5.2</v>
      </c>
      <c r="G386" t="s">
        <v>1315</v>
      </c>
      <c r="H386">
        <v>385</v>
      </c>
    </row>
    <row r="387" spans="1:8">
      <c r="A387" t="s">
        <v>1334</v>
      </c>
      <c r="B387" t="s">
        <v>167</v>
      </c>
      <c r="C387" t="s">
        <v>1310</v>
      </c>
      <c r="D387">
        <v>2024</v>
      </c>
      <c r="E387">
        <v>7.4</v>
      </c>
      <c r="F387">
        <v>6.7</v>
      </c>
      <c r="G387" t="s">
        <v>1303</v>
      </c>
      <c r="H387">
        <v>386</v>
      </c>
    </row>
    <row r="388" spans="1:8">
      <c r="A388" t="s">
        <v>1333</v>
      </c>
      <c r="B388" t="s">
        <v>183</v>
      </c>
      <c r="C388" t="s">
        <v>1321</v>
      </c>
      <c r="D388">
        <v>2021</v>
      </c>
      <c r="E388">
        <v>7.4</v>
      </c>
      <c r="F388">
        <v>10.4</v>
      </c>
      <c r="G388" t="s">
        <v>1303</v>
      </c>
      <c r="H388">
        <v>387</v>
      </c>
    </row>
    <row r="389" spans="1:8">
      <c r="A389" t="s">
        <v>1333</v>
      </c>
      <c r="B389" t="s">
        <v>183</v>
      </c>
      <c r="C389" t="s">
        <v>1321</v>
      </c>
      <c r="D389">
        <v>2021</v>
      </c>
      <c r="E389">
        <v>7.4</v>
      </c>
      <c r="F389">
        <v>7</v>
      </c>
      <c r="G389" t="s">
        <v>1299</v>
      </c>
      <c r="H389">
        <v>388</v>
      </c>
    </row>
    <row r="390" spans="1:8">
      <c r="A390" t="s">
        <v>1332</v>
      </c>
      <c r="B390" t="s">
        <v>183</v>
      </c>
      <c r="C390" t="s">
        <v>1321</v>
      </c>
      <c r="D390">
        <v>2021</v>
      </c>
      <c r="E390">
        <v>7.4</v>
      </c>
      <c r="F390">
        <v>9.4</v>
      </c>
      <c r="G390" t="s">
        <v>1299</v>
      </c>
      <c r="H390">
        <v>389</v>
      </c>
    </row>
    <row r="391" spans="1:8">
      <c r="A391" t="s">
        <v>1331</v>
      </c>
      <c r="B391" t="s">
        <v>183</v>
      </c>
      <c r="C391" t="s">
        <v>1305</v>
      </c>
      <c r="D391">
        <v>2021</v>
      </c>
      <c r="E391">
        <v>7.3</v>
      </c>
      <c r="F391">
        <v>3.6</v>
      </c>
      <c r="G391" t="s">
        <v>1299</v>
      </c>
      <c r="H391">
        <v>390</v>
      </c>
    </row>
    <row r="392" spans="1:8">
      <c r="A392" t="s">
        <v>1327</v>
      </c>
      <c r="B392" t="s">
        <v>183</v>
      </c>
      <c r="C392" t="s">
        <v>1305</v>
      </c>
      <c r="D392">
        <v>2022</v>
      </c>
      <c r="E392">
        <v>7.3</v>
      </c>
      <c r="F392">
        <v>5.3</v>
      </c>
      <c r="G392" t="s">
        <v>1315</v>
      </c>
      <c r="H392">
        <v>391</v>
      </c>
    </row>
    <row r="393" spans="1:8">
      <c r="A393" t="s">
        <v>1330</v>
      </c>
      <c r="B393" t="s">
        <v>167</v>
      </c>
      <c r="C393" t="s">
        <v>1310</v>
      </c>
      <c r="D393">
        <v>2022</v>
      </c>
      <c r="E393">
        <v>7.3</v>
      </c>
      <c r="F393">
        <v>4.5</v>
      </c>
      <c r="G393" t="s">
        <v>1299</v>
      </c>
      <c r="H393">
        <v>392</v>
      </c>
    </row>
    <row r="394" spans="1:8">
      <c r="A394" t="s">
        <v>1326</v>
      </c>
      <c r="B394" t="s">
        <v>183</v>
      </c>
      <c r="C394" t="s">
        <v>1310</v>
      </c>
      <c r="D394">
        <v>2024</v>
      </c>
      <c r="E394">
        <v>7.3</v>
      </c>
      <c r="F394">
        <v>8</v>
      </c>
      <c r="G394" t="s">
        <v>1304</v>
      </c>
      <c r="H394">
        <v>393</v>
      </c>
    </row>
    <row r="395" spans="1:8">
      <c r="A395" t="s">
        <v>1329</v>
      </c>
      <c r="B395" t="s">
        <v>183</v>
      </c>
      <c r="C395" t="s">
        <v>1310</v>
      </c>
      <c r="D395">
        <v>2025</v>
      </c>
      <c r="E395">
        <v>7.3</v>
      </c>
      <c r="F395">
        <v>7.3</v>
      </c>
      <c r="G395" t="s">
        <v>1303</v>
      </c>
      <c r="H395">
        <v>394</v>
      </c>
    </row>
    <row r="396" spans="1:8">
      <c r="A396" t="s">
        <v>1323</v>
      </c>
      <c r="B396" t="s">
        <v>1046</v>
      </c>
      <c r="C396" t="s">
        <v>1321</v>
      </c>
      <c r="D396">
        <v>2023</v>
      </c>
      <c r="E396">
        <v>7.3</v>
      </c>
      <c r="F396">
        <v>8.5</v>
      </c>
      <c r="G396" t="s">
        <v>1303</v>
      </c>
      <c r="H396">
        <v>395</v>
      </c>
    </row>
    <row r="397" spans="1:8">
      <c r="A397" t="s">
        <v>1319</v>
      </c>
      <c r="B397" t="s">
        <v>1301</v>
      </c>
      <c r="C397" t="s">
        <v>1305</v>
      </c>
      <c r="D397">
        <v>2021</v>
      </c>
      <c r="E397">
        <v>7.2</v>
      </c>
      <c r="F397">
        <v>5.4</v>
      </c>
      <c r="G397" t="s">
        <v>1304</v>
      </c>
      <c r="H397">
        <v>396</v>
      </c>
    </row>
    <row r="398" spans="1:8">
      <c r="A398" t="s">
        <v>1037</v>
      </c>
      <c r="B398" t="s">
        <v>1046</v>
      </c>
      <c r="C398" t="s">
        <v>1305</v>
      </c>
      <c r="D398">
        <v>2021</v>
      </c>
      <c r="E398">
        <v>7.2</v>
      </c>
      <c r="F398">
        <v>6.7</v>
      </c>
      <c r="G398" t="s">
        <v>1303</v>
      </c>
      <c r="H398">
        <v>397</v>
      </c>
    </row>
    <row r="399" spans="1:8">
      <c r="A399" t="s">
        <v>1328</v>
      </c>
      <c r="B399" t="s">
        <v>167</v>
      </c>
      <c r="C399" t="s">
        <v>1305</v>
      </c>
      <c r="D399">
        <v>2021</v>
      </c>
      <c r="E399">
        <v>7.2</v>
      </c>
      <c r="F399">
        <v>4.2</v>
      </c>
      <c r="G399" t="s">
        <v>1299</v>
      </c>
      <c r="H399">
        <v>398</v>
      </c>
    </row>
    <row r="400" spans="1:8">
      <c r="A400" t="s">
        <v>1327</v>
      </c>
      <c r="B400" t="s">
        <v>183</v>
      </c>
      <c r="C400" t="s">
        <v>1305</v>
      </c>
      <c r="D400">
        <v>2022</v>
      </c>
      <c r="E400">
        <v>7.2</v>
      </c>
      <c r="F400">
        <v>7.5</v>
      </c>
      <c r="G400" t="s">
        <v>1304</v>
      </c>
      <c r="H400">
        <v>399</v>
      </c>
    </row>
    <row r="401" spans="1:8">
      <c r="A401" t="s">
        <v>1327</v>
      </c>
      <c r="B401" t="s">
        <v>183</v>
      </c>
      <c r="C401" t="s">
        <v>1305</v>
      </c>
      <c r="D401">
        <v>2022</v>
      </c>
      <c r="E401">
        <v>7.2</v>
      </c>
      <c r="F401">
        <v>5.8</v>
      </c>
      <c r="G401" t="s">
        <v>1303</v>
      </c>
      <c r="H401">
        <v>400</v>
      </c>
    </row>
    <row r="402" spans="1:8">
      <c r="A402" t="s">
        <v>1316</v>
      </c>
      <c r="B402" t="s">
        <v>183</v>
      </c>
      <c r="C402" t="s">
        <v>1310</v>
      </c>
      <c r="D402">
        <v>2024</v>
      </c>
      <c r="E402">
        <v>7.2</v>
      </c>
      <c r="F402">
        <v>6.4</v>
      </c>
      <c r="G402" t="s">
        <v>1304</v>
      </c>
      <c r="H402">
        <v>401</v>
      </c>
    </row>
    <row r="403" spans="1:8">
      <c r="A403" t="s">
        <v>1326</v>
      </c>
      <c r="B403" t="s">
        <v>183</v>
      </c>
      <c r="C403" t="s">
        <v>1310</v>
      </c>
      <c r="D403">
        <v>2024</v>
      </c>
      <c r="E403">
        <v>7.2</v>
      </c>
      <c r="F403">
        <v>6.3</v>
      </c>
      <c r="G403" t="s">
        <v>1303</v>
      </c>
      <c r="H403">
        <v>402</v>
      </c>
    </row>
    <row r="404" spans="1:8">
      <c r="A404" t="s">
        <v>576</v>
      </c>
      <c r="B404" t="s">
        <v>183</v>
      </c>
      <c r="C404" t="s">
        <v>1310</v>
      </c>
      <c r="D404">
        <v>2025</v>
      </c>
      <c r="E404">
        <v>7.2</v>
      </c>
      <c r="F404">
        <v>7.6</v>
      </c>
      <c r="G404" t="s">
        <v>1304</v>
      </c>
      <c r="H404">
        <v>403</v>
      </c>
    </row>
    <row r="405" spans="1:8">
      <c r="A405" t="s">
        <v>576</v>
      </c>
      <c r="B405" t="s">
        <v>183</v>
      </c>
      <c r="C405" t="s">
        <v>1310</v>
      </c>
      <c r="D405">
        <v>2025</v>
      </c>
      <c r="E405">
        <v>7.2</v>
      </c>
      <c r="F405">
        <v>4.7</v>
      </c>
      <c r="G405" t="s">
        <v>1315</v>
      </c>
      <c r="H405">
        <v>404</v>
      </c>
    </row>
    <row r="406" spans="1:8">
      <c r="A406" t="s">
        <v>1325</v>
      </c>
      <c r="B406" t="s">
        <v>1046</v>
      </c>
      <c r="C406" t="s">
        <v>1321</v>
      </c>
      <c r="D406">
        <v>2021</v>
      </c>
      <c r="E406">
        <v>7.2</v>
      </c>
      <c r="F406">
        <v>9.1</v>
      </c>
      <c r="G406" t="s">
        <v>1303</v>
      </c>
      <c r="H406">
        <v>405</v>
      </c>
    </row>
    <row r="407" spans="1:8">
      <c r="A407" t="s">
        <v>1325</v>
      </c>
      <c r="B407" t="s">
        <v>1046</v>
      </c>
      <c r="C407" t="s">
        <v>1321</v>
      </c>
      <c r="D407">
        <v>2021</v>
      </c>
      <c r="E407">
        <v>7.2</v>
      </c>
      <c r="F407">
        <v>6.1</v>
      </c>
      <c r="G407" t="s">
        <v>1299</v>
      </c>
      <c r="H407">
        <v>406</v>
      </c>
    </row>
    <row r="408" spans="1:8">
      <c r="A408" t="s">
        <v>1324</v>
      </c>
      <c r="B408" t="s">
        <v>57</v>
      </c>
      <c r="C408" t="s">
        <v>1321</v>
      </c>
      <c r="D408">
        <v>2022</v>
      </c>
      <c r="E408">
        <v>7.2</v>
      </c>
      <c r="F408">
        <v>9</v>
      </c>
      <c r="G408" t="s">
        <v>1303</v>
      </c>
      <c r="H408">
        <v>407</v>
      </c>
    </row>
    <row r="409" spans="1:8">
      <c r="A409" t="s">
        <v>1324</v>
      </c>
      <c r="B409" t="s">
        <v>57</v>
      </c>
      <c r="C409" t="s">
        <v>1321</v>
      </c>
      <c r="D409">
        <v>2022</v>
      </c>
      <c r="E409">
        <v>7.2</v>
      </c>
      <c r="F409">
        <v>6</v>
      </c>
      <c r="G409" t="s">
        <v>1299</v>
      </c>
      <c r="H409">
        <v>408</v>
      </c>
    </row>
    <row r="410" spans="1:8">
      <c r="A410" t="s">
        <v>1323</v>
      </c>
      <c r="B410" t="s">
        <v>1046</v>
      </c>
      <c r="C410" t="s">
        <v>1321</v>
      </c>
      <c r="D410">
        <v>2023</v>
      </c>
      <c r="E410">
        <v>7.2</v>
      </c>
      <c r="F410">
        <v>5.6</v>
      </c>
      <c r="G410" t="s">
        <v>1299</v>
      </c>
      <c r="H410">
        <v>409</v>
      </c>
    </row>
    <row r="411" spans="1:8">
      <c r="A411" t="s">
        <v>1314</v>
      </c>
      <c r="B411" t="s">
        <v>183</v>
      </c>
      <c r="C411" t="s">
        <v>1305</v>
      </c>
      <c r="D411">
        <v>2021</v>
      </c>
      <c r="E411">
        <v>7.1</v>
      </c>
      <c r="F411">
        <v>6</v>
      </c>
      <c r="G411" t="s">
        <v>1304</v>
      </c>
      <c r="H411">
        <v>410</v>
      </c>
    </row>
    <row r="412" spans="1:8">
      <c r="A412" t="s">
        <v>1320</v>
      </c>
      <c r="B412" t="s">
        <v>183</v>
      </c>
      <c r="C412" t="s">
        <v>1305</v>
      </c>
      <c r="D412">
        <v>2021</v>
      </c>
      <c r="E412">
        <v>7.1</v>
      </c>
      <c r="F412">
        <v>8</v>
      </c>
      <c r="G412" t="s">
        <v>1303</v>
      </c>
      <c r="H412">
        <v>411</v>
      </c>
    </row>
    <row r="413" spans="1:8">
      <c r="A413" t="s">
        <v>1317</v>
      </c>
      <c r="B413" t="s">
        <v>183</v>
      </c>
      <c r="C413" t="s">
        <v>1305</v>
      </c>
      <c r="D413">
        <v>2022</v>
      </c>
      <c r="E413">
        <v>7.1</v>
      </c>
      <c r="F413">
        <v>8.4</v>
      </c>
      <c r="G413" t="s">
        <v>1303</v>
      </c>
      <c r="H413">
        <v>412</v>
      </c>
    </row>
    <row r="414" spans="1:8">
      <c r="A414" t="s">
        <v>1311</v>
      </c>
      <c r="B414" t="s">
        <v>183</v>
      </c>
      <c r="C414" t="s">
        <v>1310</v>
      </c>
      <c r="D414">
        <v>2023</v>
      </c>
      <c r="E414">
        <v>7.1</v>
      </c>
      <c r="F414">
        <v>5.0999999999999996</v>
      </c>
      <c r="G414" t="s">
        <v>1304</v>
      </c>
      <c r="H414">
        <v>413</v>
      </c>
    </row>
    <row r="415" spans="1:8">
      <c r="A415" t="s">
        <v>576</v>
      </c>
      <c r="B415" t="s">
        <v>183</v>
      </c>
      <c r="C415" t="s">
        <v>1310</v>
      </c>
      <c r="D415">
        <v>2025</v>
      </c>
      <c r="E415">
        <v>7.1</v>
      </c>
      <c r="F415">
        <v>5.2</v>
      </c>
      <c r="G415" t="s">
        <v>1303</v>
      </c>
      <c r="H415">
        <v>414</v>
      </c>
    </row>
    <row r="416" spans="1:8">
      <c r="A416" t="s">
        <v>1322</v>
      </c>
      <c r="B416" t="s">
        <v>183</v>
      </c>
      <c r="C416" t="s">
        <v>1321</v>
      </c>
      <c r="D416">
        <v>2021</v>
      </c>
      <c r="E416">
        <v>7.1</v>
      </c>
      <c r="F416">
        <v>6.5</v>
      </c>
      <c r="G416" t="s">
        <v>1304</v>
      </c>
      <c r="H416">
        <v>415</v>
      </c>
    </row>
    <row r="417" spans="1:8">
      <c r="A417" t="s">
        <v>1322</v>
      </c>
      <c r="B417" t="s">
        <v>183</v>
      </c>
      <c r="C417" t="s">
        <v>1321</v>
      </c>
      <c r="D417">
        <v>2021</v>
      </c>
      <c r="E417">
        <v>7.1</v>
      </c>
      <c r="F417">
        <v>4.8</v>
      </c>
      <c r="G417" t="s">
        <v>1303</v>
      </c>
      <c r="H417">
        <v>416</v>
      </c>
    </row>
    <row r="418" spans="1:8">
      <c r="A418" t="s">
        <v>1320</v>
      </c>
      <c r="B418" t="s">
        <v>183</v>
      </c>
      <c r="C418" t="s">
        <v>1305</v>
      </c>
      <c r="D418">
        <v>2021</v>
      </c>
      <c r="E418">
        <v>7</v>
      </c>
      <c r="F418">
        <v>5.8</v>
      </c>
      <c r="G418" t="s">
        <v>1299</v>
      </c>
      <c r="H418">
        <v>417</v>
      </c>
    </row>
    <row r="419" spans="1:8">
      <c r="A419" t="s">
        <v>1319</v>
      </c>
      <c r="B419" t="s">
        <v>1301</v>
      </c>
      <c r="C419" t="s">
        <v>1305</v>
      </c>
      <c r="D419">
        <v>2021</v>
      </c>
      <c r="E419">
        <v>7</v>
      </c>
      <c r="F419">
        <v>4</v>
      </c>
      <c r="G419" t="s">
        <v>1303</v>
      </c>
      <c r="H419">
        <v>418</v>
      </c>
    </row>
    <row r="420" spans="1:8">
      <c r="A420" t="s">
        <v>1037</v>
      </c>
      <c r="B420" t="s">
        <v>1046</v>
      </c>
      <c r="C420" t="s">
        <v>1305</v>
      </c>
      <c r="D420">
        <v>2021</v>
      </c>
      <c r="E420">
        <v>7</v>
      </c>
      <c r="F420">
        <v>4.5999999999999996</v>
      </c>
      <c r="G420" t="s">
        <v>1299</v>
      </c>
      <c r="H420">
        <v>419</v>
      </c>
    </row>
    <row r="421" spans="1:8">
      <c r="A421" t="s">
        <v>1318</v>
      </c>
      <c r="B421" t="s">
        <v>167</v>
      </c>
      <c r="C421" t="s">
        <v>1305</v>
      </c>
      <c r="D421">
        <v>2022</v>
      </c>
      <c r="E421">
        <v>7</v>
      </c>
      <c r="F421">
        <v>5</v>
      </c>
      <c r="G421" t="s">
        <v>1304</v>
      </c>
      <c r="H421">
        <v>420</v>
      </c>
    </row>
    <row r="422" spans="1:8">
      <c r="A422" t="s">
        <v>1318</v>
      </c>
      <c r="B422" t="s">
        <v>167</v>
      </c>
      <c r="C422" t="s">
        <v>1305</v>
      </c>
      <c r="D422">
        <v>2022</v>
      </c>
      <c r="E422">
        <v>7</v>
      </c>
      <c r="F422">
        <v>3.7</v>
      </c>
      <c r="G422" t="s">
        <v>1315</v>
      </c>
      <c r="H422">
        <v>421</v>
      </c>
    </row>
    <row r="423" spans="1:8">
      <c r="A423" t="s">
        <v>1317</v>
      </c>
      <c r="B423" t="s">
        <v>183</v>
      </c>
      <c r="C423" t="s">
        <v>1305</v>
      </c>
      <c r="D423">
        <v>2022</v>
      </c>
      <c r="E423">
        <v>7</v>
      </c>
      <c r="F423">
        <v>4.8</v>
      </c>
      <c r="G423" t="s">
        <v>1299</v>
      </c>
      <c r="H423">
        <v>422</v>
      </c>
    </row>
    <row r="424" spans="1:8">
      <c r="A424" t="s">
        <v>1316</v>
      </c>
      <c r="B424" t="s">
        <v>183</v>
      </c>
      <c r="C424" t="s">
        <v>1310</v>
      </c>
      <c r="D424">
        <v>2024</v>
      </c>
      <c r="E424">
        <v>7</v>
      </c>
      <c r="F424">
        <v>3.3</v>
      </c>
      <c r="G424" t="s">
        <v>1315</v>
      </c>
      <c r="H424">
        <v>423</v>
      </c>
    </row>
    <row r="425" spans="1:8">
      <c r="A425" t="s">
        <v>1309</v>
      </c>
      <c r="B425" t="s">
        <v>485</v>
      </c>
      <c r="C425" t="s">
        <v>1305</v>
      </c>
      <c r="D425">
        <v>2021</v>
      </c>
      <c r="E425">
        <v>6.9</v>
      </c>
      <c r="F425">
        <v>6.6</v>
      </c>
      <c r="G425" t="s">
        <v>1304</v>
      </c>
      <c r="H425">
        <v>424</v>
      </c>
    </row>
    <row r="426" spans="1:8">
      <c r="A426" t="s">
        <v>1309</v>
      </c>
      <c r="B426" t="s">
        <v>485</v>
      </c>
      <c r="C426" t="s">
        <v>1305</v>
      </c>
      <c r="D426">
        <v>2021</v>
      </c>
      <c r="E426">
        <v>6.9</v>
      </c>
      <c r="F426">
        <v>3.3</v>
      </c>
      <c r="G426" t="s">
        <v>1315</v>
      </c>
      <c r="H426">
        <v>425</v>
      </c>
    </row>
    <row r="427" spans="1:8">
      <c r="A427" t="s">
        <v>1313</v>
      </c>
      <c r="B427" t="s">
        <v>485</v>
      </c>
      <c r="C427" t="s">
        <v>1305</v>
      </c>
      <c r="D427">
        <v>2022</v>
      </c>
      <c r="E427">
        <v>6.9</v>
      </c>
      <c r="F427">
        <v>6.7</v>
      </c>
      <c r="G427" t="s">
        <v>1304</v>
      </c>
      <c r="H427">
        <v>426</v>
      </c>
    </row>
    <row r="428" spans="1:8">
      <c r="A428" t="s">
        <v>1308</v>
      </c>
      <c r="B428" t="s">
        <v>485</v>
      </c>
      <c r="C428" t="s">
        <v>1305</v>
      </c>
      <c r="D428">
        <v>2022</v>
      </c>
      <c r="E428">
        <v>6.9</v>
      </c>
      <c r="F428">
        <v>5.3</v>
      </c>
      <c r="G428" t="s">
        <v>1304</v>
      </c>
      <c r="H428">
        <v>427</v>
      </c>
    </row>
    <row r="429" spans="1:8">
      <c r="A429" t="s">
        <v>1314</v>
      </c>
      <c r="B429" t="s">
        <v>183</v>
      </c>
      <c r="C429" t="s">
        <v>1305</v>
      </c>
      <c r="D429">
        <v>2021</v>
      </c>
      <c r="E429">
        <v>6.8</v>
      </c>
      <c r="F429">
        <v>4.7</v>
      </c>
      <c r="G429" t="s">
        <v>1303</v>
      </c>
      <c r="H429">
        <v>428</v>
      </c>
    </row>
    <row r="430" spans="1:8">
      <c r="A430" t="s">
        <v>1313</v>
      </c>
      <c r="B430" t="s">
        <v>485</v>
      </c>
      <c r="C430" t="s">
        <v>1305</v>
      </c>
      <c r="D430">
        <v>2022</v>
      </c>
      <c r="E430">
        <v>6.8</v>
      </c>
      <c r="F430">
        <v>5.2</v>
      </c>
      <c r="G430" t="s">
        <v>1303</v>
      </c>
      <c r="H430">
        <v>429</v>
      </c>
    </row>
    <row r="431" spans="1:8">
      <c r="A431" t="s">
        <v>1306</v>
      </c>
      <c r="B431" t="s">
        <v>57</v>
      </c>
      <c r="C431" t="s">
        <v>1305</v>
      </c>
      <c r="D431">
        <v>2022</v>
      </c>
      <c r="E431">
        <v>6.8</v>
      </c>
      <c r="F431">
        <v>7</v>
      </c>
      <c r="G431" t="s">
        <v>1304</v>
      </c>
      <c r="H431">
        <v>430</v>
      </c>
    </row>
    <row r="432" spans="1:8">
      <c r="A432" t="s">
        <v>1312</v>
      </c>
      <c r="B432" t="s">
        <v>57</v>
      </c>
      <c r="C432" t="s">
        <v>1305</v>
      </c>
      <c r="D432">
        <v>2023</v>
      </c>
      <c r="E432">
        <v>6.8</v>
      </c>
      <c r="F432">
        <v>5.7</v>
      </c>
      <c r="G432" t="s">
        <v>1304</v>
      </c>
      <c r="H432">
        <v>431</v>
      </c>
    </row>
    <row r="433" spans="1:8">
      <c r="A433" t="s">
        <v>1312</v>
      </c>
      <c r="B433" t="s">
        <v>57</v>
      </c>
      <c r="C433" t="s">
        <v>1305</v>
      </c>
      <c r="D433">
        <v>2023</v>
      </c>
      <c r="E433">
        <v>6.8</v>
      </c>
      <c r="F433">
        <v>4.0999999999999996</v>
      </c>
      <c r="G433" t="s">
        <v>1303</v>
      </c>
      <c r="H433">
        <v>432</v>
      </c>
    </row>
    <row r="434" spans="1:8">
      <c r="A434" t="s">
        <v>1311</v>
      </c>
      <c r="B434" t="s">
        <v>183</v>
      </c>
      <c r="C434" t="s">
        <v>1310</v>
      </c>
      <c r="D434">
        <v>2023</v>
      </c>
      <c r="E434">
        <v>6.8</v>
      </c>
      <c r="F434">
        <v>5</v>
      </c>
      <c r="G434" t="s">
        <v>1303</v>
      </c>
      <c r="H434">
        <v>433</v>
      </c>
    </row>
    <row r="435" spans="1:8">
      <c r="A435" t="s">
        <v>1309</v>
      </c>
      <c r="B435" t="s">
        <v>485</v>
      </c>
      <c r="C435" t="s">
        <v>1305</v>
      </c>
      <c r="D435">
        <v>2021</v>
      </c>
      <c r="E435">
        <v>6.7</v>
      </c>
      <c r="F435">
        <v>4.3</v>
      </c>
      <c r="G435" t="s">
        <v>1303</v>
      </c>
      <c r="H435">
        <v>434</v>
      </c>
    </row>
    <row r="436" spans="1:8">
      <c r="A436" t="s">
        <v>1308</v>
      </c>
      <c r="B436" t="s">
        <v>485</v>
      </c>
      <c r="C436" t="s">
        <v>1305</v>
      </c>
      <c r="D436">
        <v>2022</v>
      </c>
      <c r="E436">
        <v>6.7</v>
      </c>
      <c r="F436">
        <v>3.7</v>
      </c>
      <c r="G436" t="s">
        <v>1303</v>
      </c>
      <c r="H436">
        <v>435</v>
      </c>
    </row>
    <row r="437" spans="1:8">
      <c r="A437" t="s">
        <v>1307</v>
      </c>
      <c r="B437" t="s">
        <v>485</v>
      </c>
      <c r="C437" t="s">
        <v>1305</v>
      </c>
      <c r="D437">
        <v>2021</v>
      </c>
      <c r="E437">
        <v>6.6</v>
      </c>
      <c r="F437">
        <v>4.5999999999999996</v>
      </c>
      <c r="G437" t="s">
        <v>1304</v>
      </c>
      <c r="H437">
        <v>436</v>
      </c>
    </row>
    <row r="438" spans="1:8">
      <c r="A438" t="s">
        <v>1307</v>
      </c>
      <c r="B438" t="s">
        <v>485</v>
      </c>
      <c r="C438" t="s">
        <v>1305</v>
      </c>
      <c r="D438">
        <v>2021</v>
      </c>
      <c r="E438">
        <v>6.6</v>
      </c>
      <c r="F438">
        <v>3.1</v>
      </c>
      <c r="G438" t="s">
        <v>1303</v>
      </c>
      <c r="H438">
        <v>437</v>
      </c>
    </row>
    <row r="439" spans="1:8">
      <c r="A439" t="s">
        <v>1306</v>
      </c>
      <c r="B439" t="s">
        <v>57</v>
      </c>
      <c r="C439" t="s">
        <v>1305</v>
      </c>
      <c r="D439">
        <v>2022</v>
      </c>
      <c r="E439">
        <v>6.6</v>
      </c>
      <c r="F439">
        <v>5</v>
      </c>
      <c r="G439" t="s">
        <v>1303</v>
      </c>
      <c r="H439">
        <v>438</v>
      </c>
    </row>
    <row r="440" spans="1:8">
      <c r="A440" t="s">
        <v>1302</v>
      </c>
      <c r="B440" t="s">
        <v>1301</v>
      </c>
      <c r="C440" t="s">
        <v>1300</v>
      </c>
      <c r="D440">
        <v>2021</v>
      </c>
      <c r="E440">
        <v>5.8</v>
      </c>
      <c r="F440">
        <v>8.3000000000000007</v>
      </c>
      <c r="G440" t="s">
        <v>1304</v>
      </c>
      <c r="H440">
        <v>441</v>
      </c>
    </row>
    <row r="441" spans="1:8">
      <c r="A441" t="s">
        <v>1302</v>
      </c>
      <c r="B441" t="s">
        <v>1301</v>
      </c>
      <c r="C441" t="s">
        <v>1300</v>
      </c>
      <c r="D441">
        <v>2021</v>
      </c>
      <c r="E441">
        <v>5.5</v>
      </c>
      <c r="F441">
        <v>5.8</v>
      </c>
      <c r="G441" t="s">
        <v>1303</v>
      </c>
      <c r="H441">
        <v>442</v>
      </c>
    </row>
    <row r="442" spans="1:8">
      <c r="A442" t="s">
        <v>1302</v>
      </c>
      <c r="B442" t="s">
        <v>1301</v>
      </c>
      <c r="C442" t="s">
        <v>1300</v>
      </c>
      <c r="D442">
        <v>2021</v>
      </c>
      <c r="E442">
        <v>5.4</v>
      </c>
      <c r="F442">
        <v>4.5</v>
      </c>
      <c r="G442" t="s">
        <v>1299</v>
      </c>
      <c r="H442">
        <v>443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BB1A1-D511-4484-BBE6-34649A48E1A8}">
  <dimension ref="A1:G624"/>
  <sheetViews>
    <sheetView workbookViewId="0">
      <selection activeCell="C1" sqref="C1"/>
    </sheetView>
  </sheetViews>
  <sheetFormatPr defaultRowHeight="14.4"/>
  <cols>
    <col min="1" max="1" width="81.109375" bestFit="1" customWidth="1"/>
    <col min="2" max="2" width="21.88671875" bestFit="1" customWidth="1"/>
    <col min="3" max="3" width="14.88671875" bestFit="1" customWidth="1"/>
    <col min="4" max="4" width="14.33203125" bestFit="1" customWidth="1"/>
    <col min="5" max="5" width="67" bestFit="1" customWidth="1"/>
    <col min="6" max="6" width="7.33203125" bestFit="1" customWidth="1"/>
    <col min="7" max="7" width="9.88671875" bestFit="1" customWidth="1"/>
  </cols>
  <sheetData>
    <row r="1" spans="1:7">
      <c r="A1" t="s">
        <v>0</v>
      </c>
      <c r="B1" t="s">
        <v>1</v>
      </c>
      <c r="C1" t="s">
        <v>2</v>
      </c>
      <c r="D1" t="s">
        <v>3</v>
      </c>
      <c r="E1" t="s">
        <v>4</v>
      </c>
      <c r="F1" t="s">
        <v>5</v>
      </c>
      <c r="G1" t="s">
        <v>6</v>
      </c>
    </row>
    <row r="2" spans="1:7">
      <c r="A2" t="s">
        <v>7</v>
      </c>
      <c r="B2">
        <v>482000</v>
      </c>
      <c r="C2">
        <v>8.9600000000000009</v>
      </c>
      <c r="D2" t="s">
        <v>1046</v>
      </c>
      <c r="E2" t="s">
        <v>9</v>
      </c>
      <c r="F2">
        <v>2026</v>
      </c>
      <c r="G2" t="s">
        <v>10</v>
      </c>
    </row>
    <row r="3" spans="1:7">
      <c r="A3" t="s">
        <v>11</v>
      </c>
      <c r="B3">
        <v>441000</v>
      </c>
      <c r="C3">
        <v>8.67</v>
      </c>
      <c r="D3" t="s">
        <v>183</v>
      </c>
      <c r="E3" t="s">
        <v>13</v>
      </c>
      <c r="F3">
        <v>2026</v>
      </c>
      <c r="G3" t="s">
        <v>10</v>
      </c>
    </row>
    <row r="4" spans="1:7">
      <c r="A4" t="s">
        <v>14</v>
      </c>
      <c r="B4">
        <v>344000</v>
      </c>
      <c r="C4">
        <v>8.2100000000000009</v>
      </c>
      <c r="D4" t="s">
        <v>183</v>
      </c>
      <c r="E4" t="s">
        <v>13</v>
      </c>
      <c r="F4">
        <v>2026</v>
      </c>
      <c r="G4" t="s">
        <v>10</v>
      </c>
    </row>
    <row r="5" spans="1:7">
      <c r="A5" t="s">
        <v>16</v>
      </c>
      <c r="B5">
        <v>275000</v>
      </c>
      <c r="C5">
        <v>8.19</v>
      </c>
      <c r="D5" t="s">
        <v>183</v>
      </c>
      <c r="E5" t="s">
        <v>18</v>
      </c>
      <c r="F5">
        <v>2026</v>
      </c>
      <c r="G5" t="s">
        <v>10</v>
      </c>
    </row>
    <row r="6" spans="1:7">
      <c r="A6" t="s">
        <v>19</v>
      </c>
      <c r="B6">
        <v>243000</v>
      </c>
      <c r="C6">
        <v>8.73</v>
      </c>
      <c r="D6" t="s">
        <v>237</v>
      </c>
      <c r="E6" t="s">
        <v>21</v>
      </c>
      <c r="F6">
        <v>2026</v>
      </c>
      <c r="G6" t="s">
        <v>10</v>
      </c>
    </row>
    <row r="7" spans="1:7">
      <c r="A7" t="s">
        <v>22</v>
      </c>
      <c r="B7">
        <v>171000</v>
      </c>
      <c r="C7">
        <v>8.14</v>
      </c>
      <c r="D7" t="s">
        <v>183</v>
      </c>
      <c r="E7" t="s">
        <v>24</v>
      </c>
      <c r="F7">
        <v>2026</v>
      </c>
      <c r="G7" t="s">
        <v>10</v>
      </c>
    </row>
    <row r="8" spans="1:7">
      <c r="A8" t="s">
        <v>25</v>
      </c>
      <c r="B8">
        <v>157000</v>
      </c>
      <c r="C8">
        <v>8.39</v>
      </c>
      <c r="D8" t="s">
        <v>183</v>
      </c>
      <c r="E8" t="s">
        <v>27</v>
      </c>
      <c r="F8">
        <v>2026</v>
      </c>
      <c r="G8" t="s">
        <v>10</v>
      </c>
    </row>
    <row r="9" spans="1:7">
      <c r="A9" t="s">
        <v>28</v>
      </c>
      <c r="B9">
        <v>114000</v>
      </c>
      <c r="C9">
        <v>6.65</v>
      </c>
      <c r="D9" t="s">
        <v>183</v>
      </c>
      <c r="E9" t="s">
        <v>29</v>
      </c>
      <c r="F9">
        <v>2026</v>
      </c>
      <c r="G9" t="s">
        <v>10</v>
      </c>
    </row>
    <row r="10" spans="1:7">
      <c r="A10" t="s">
        <v>30</v>
      </c>
      <c r="B10">
        <v>94000</v>
      </c>
      <c r="C10">
        <v>7.44</v>
      </c>
      <c r="D10" t="s">
        <v>183</v>
      </c>
      <c r="E10" t="s">
        <v>32</v>
      </c>
      <c r="F10">
        <v>2026</v>
      </c>
      <c r="G10" t="s">
        <v>10</v>
      </c>
    </row>
    <row r="11" spans="1:7">
      <c r="A11" t="s">
        <v>33</v>
      </c>
      <c r="B11">
        <v>93000</v>
      </c>
      <c r="C11">
        <v>7.2</v>
      </c>
      <c r="D11" t="s">
        <v>183</v>
      </c>
      <c r="E11" t="s">
        <v>35</v>
      </c>
      <c r="F11">
        <v>2026</v>
      </c>
      <c r="G11" t="s">
        <v>10</v>
      </c>
    </row>
    <row r="12" spans="1:7">
      <c r="A12" t="s">
        <v>36</v>
      </c>
      <c r="B12">
        <v>84000</v>
      </c>
      <c r="C12">
        <v>7.38</v>
      </c>
      <c r="D12" t="s">
        <v>183</v>
      </c>
      <c r="E12" t="s">
        <v>38</v>
      </c>
      <c r="F12">
        <v>2026</v>
      </c>
      <c r="G12" t="s">
        <v>10</v>
      </c>
    </row>
    <row r="13" spans="1:7">
      <c r="A13" t="s">
        <v>39</v>
      </c>
      <c r="B13">
        <v>80000</v>
      </c>
      <c r="C13">
        <v>6.23</v>
      </c>
      <c r="D13" t="s">
        <v>167</v>
      </c>
      <c r="E13" t="s">
        <v>41</v>
      </c>
      <c r="F13">
        <v>2026</v>
      </c>
      <c r="G13" t="s">
        <v>10</v>
      </c>
    </row>
    <row r="14" spans="1:7">
      <c r="A14" t="s">
        <v>42</v>
      </c>
      <c r="B14">
        <v>74000</v>
      </c>
      <c r="C14">
        <v>7.27</v>
      </c>
      <c r="D14" t="s">
        <v>167</v>
      </c>
      <c r="E14" t="s">
        <v>41</v>
      </c>
      <c r="F14">
        <v>2026</v>
      </c>
      <c r="G14" t="s">
        <v>10</v>
      </c>
    </row>
    <row r="15" spans="1:7">
      <c r="A15" t="s">
        <v>44</v>
      </c>
      <c r="B15">
        <v>73000</v>
      </c>
      <c r="C15">
        <v>7.49</v>
      </c>
      <c r="D15" t="s">
        <v>1280</v>
      </c>
      <c r="E15" t="s">
        <v>46</v>
      </c>
      <c r="F15">
        <v>2026</v>
      </c>
      <c r="G15" t="s">
        <v>10</v>
      </c>
    </row>
    <row r="16" spans="1:7">
      <c r="A16" t="s">
        <v>47</v>
      </c>
      <c r="B16">
        <v>71000</v>
      </c>
      <c r="C16">
        <v>6.66</v>
      </c>
      <c r="D16" t="s">
        <v>183</v>
      </c>
      <c r="E16" t="s">
        <v>49</v>
      </c>
      <c r="F16">
        <v>2026</v>
      </c>
      <c r="G16" t="s">
        <v>10</v>
      </c>
    </row>
    <row r="17" spans="1:7">
      <c r="A17" t="s">
        <v>50</v>
      </c>
      <c r="B17">
        <v>70000</v>
      </c>
      <c r="C17">
        <v>6.79</v>
      </c>
      <c r="D17" t="s">
        <v>183</v>
      </c>
      <c r="E17" t="s">
        <v>52</v>
      </c>
      <c r="F17">
        <v>2026</v>
      </c>
      <c r="G17" t="s">
        <v>10</v>
      </c>
    </row>
    <row r="18" spans="1:7">
      <c r="A18" t="s">
        <v>53</v>
      </c>
      <c r="B18">
        <v>68000</v>
      </c>
      <c r="C18">
        <v>6.79</v>
      </c>
      <c r="D18" t="s">
        <v>57</v>
      </c>
      <c r="E18" t="s">
        <v>55</v>
      </c>
      <c r="F18">
        <v>2026</v>
      </c>
      <c r="G18" t="s">
        <v>10</v>
      </c>
    </row>
    <row r="19" spans="1:7">
      <c r="A19" t="s">
        <v>56</v>
      </c>
      <c r="B19">
        <v>65000</v>
      </c>
      <c r="C19">
        <v>6.57</v>
      </c>
      <c r="D19" t="s">
        <v>57</v>
      </c>
      <c r="E19" t="s">
        <v>58</v>
      </c>
      <c r="F19">
        <v>2026</v>
      </c>
      <c r="G19" t="s">
        <v>10</v>
      </c>
    </row>
    <row r="20" spans="1:7">
      <c r="A20" t="s">
        <v>59</v>
      </c>
      <c r="B20">
        <v>63000</v>
      </c>
      <c r="C20">
        <v>7.19</v>
      </c>
      <c r="D20" t="s">
        <v>183</v>
      </c>
      <c r="E20" t="s">
        <v>61</v>
      </c>
      <c r="F20">
        <v>2026</v>
      </c>
      <c r="G20" t="s">
        <v>10</v>
      </c>
    </row>
    <row r="21" spans="1:7">
      <c r="A21" t="s">
        <v>62</v>
      </c>
      <c r="B21">
        <v>55000</v>
      </c>
      <c r="C21">
        <v>8.41</v>
      </c>
      <c r="D21" t="s">
        <v>183</v>
      </c>
      <c r="E21" t="s">
        <v>64</v>
      </c>
      <c r="F21">
        <v>2026</v>
      </c>
      <c r="G21" t="s">
        <v>10</v>
      </c>
    </row>
    <row r="22" spans="1:7">
      <c r="A22" t="s">
        <v>65</v>
      </c>
      <c r="B22">
        <v>48000</v>
      </c>
      <c r="C22">
        <v>7.1</v>
      </c>
      <c r="D22" t="s">
        <v>1281</v>
      </c>
      <c r="E22" t="s">
        <v>67</v>
      </c>
      <c r="F22">
        <v>2026</v>
      </c>
      <c r="G22" t="s">
        <v>10</v>
      </c>
    </row>
    <row r="23" spans="1:7">
      <c r="A23" t="s">
        <v>68</v>
      </c>
      <c r="B23">
        <v>47000</v>
      </c>
      <c r="C23">
        <v>7.62</v>
      </c>
      <c r="D23" t="s">
        <v>57</v>
      </c>
      <c r="E23" t="s">
        <v>70</v>
      </c>
      <c r="F23">
        <v>2026</v>
      </c>
      <c r="G23" t="s">
        <v>10</v>
      </c>
    </row>
    <row r="24" spans="1:7">
      <c r="A24" t="s">
        <v>71</v>
      </c>
      <c r="B24">
        <v>45000</v>
      </c>
      <c r="C24">
        <v>7.18</v>
      </c>
      <c r="D24" t="s">
        <v>1282</v>
      </c>
      <c r="E24" t="s">
        <v>35</v>
      </c>
      <c r="F24">
        <v>2026</v>
      </c>
      <c r="G24" t="s">
        <v>10</v>
      </c>
    </row>
    <row r="25" spans="1:7">
      <c r="A25" t="s">
        <v>73</v>
      </c>
      <c r="B25">
        <v>44000</v>
      </c>
      <c r="C25">
        <v>6.18</v>
      </c>
      <c r="D25" t="s">
        <v>183</v>
      </c>
      <c r="E25" t="s">
        <v>75</v>
      </c>
      <c r="F25">
        <v>2026</v>
      </c>
      <c r="G25" t="s">
        <v>10</v>
      </c>
    </row>
    <row r="26" spans="1:7">
      <c r="A26" t="s">
        <v>76</v>
      </c>
      <c r="B26">
        <v>42000</v>
      </c>
      <c r="C26">
        <v>6.06</v>
      </c>
      <c r="D26" t="s">
        <v>57</v>
      </c>
      <c r="E26" t="s">
        <v>35</v>
      </c>
      <c r="F26">
        <v>2026</v>
      </c>
      <c r="G26" t="s">
        <v>10</v>
      </c>
    </row>
    <row r="27" spans="1:7">
      <c r="A27" t="s">
        <v>78</v>
      </c>
      <c r="B27">
        <v>41000</v>
      </c>
      <c r="C27">
        <v>7.03</v>
      </c>
      <c r="D27" t="s">
        <v>485</v>
      </c>
      <c r="E27" t="s">
        <v>80</v>
      </c>
      <c r="F27">
        <v>2026</v>
      </c>
      <c r="G27" t="s">
        <v>10</v>
      </c>
    </row>
    <row r="28" spans="1:7">
      <c r="A28" t="s">
        <v>81</v>
      </c>
      <c r="B28">
        <v>40000</v>
      </c>
      <c r="C28">
        <v>7.36</v>
      </c>
      <c r="D28" t="s">
        <v>167</v>
      </c>
      <c r="E28" t="s">
        <v>83</v>
      </c>
      <c r="F28">
        <v>2026</v>
      </c>
      <c r="G28" t="s">
        <v>10</v>
      </c>
    </row>
    <row r="29" spans="1:7">
      <c r="A29" t="s">
        <v>84</v>
      </c>
      <c r="B29">
        <v>39000</v>
      </c>
      <c r="C29">
        <v>6.92</v>
      </c>
      <c r="D29" t="s">
        <v>231</v>
      </c>
      <c r="E29" t="s">
        <v>86</v>
      </c>
      <c r="F29">
        <v>2026</v>
      </c>
      <c r="G29" t="s">
        <v>10</v>
      </c>
    </row>
    <row r="30" spans="1:7">
      <c r="A30" t="s">
        <v>87</v>
      </c>
      <c r="B30">
        <v>38000</v>
      </c>
      <c r="C30">
        <v>8.4700000000000006</v>
      </c>
      <c r="D30" t="s">
        <v>237</v>
      </c>
      <c r="E30" t="s">
        <v>89</v>
      </c>
      <c r="F30">
        <v>2026</v>
      </c>
      <c r="G30" t="s">
        <v>10</v>
      </c>
    </row>
    <row r="31" spans="1:7">
      <c r="A31" t="s">
        <v>90</v>
      </c>
      <c r="B31">
        <v>37000</v>
      </c>
      <c r="C31">
        <v>6.58</v>
      </c>
      <c r="D31" t="s">
        <v>57</v>
      </c>
      <c r="E31" t="s">
        <v>92</v>
      </c>
      <c r="F31">
        <v>2026</v>
      </c>
      <c r="G31" t="s">
        <v>10</v>
      </c>
    </row>
    <row r="32" spans="1:7">
      <c r="A32" t="s">
        <v>93</v>
      </c>
      <c r="B32">
        <v>34000</v>
      </c>
      <c r="C32">
        <v>6.8</v>
      </c>
      <c r="D32" t="s">
        <v>237</v>
      </c>
      <c r="E32" t="s">
        <v>95</v>
      </c>
      <c r="F32">
        <v>2026</v>
      </c>
      <c r="G32" t="s">
        <v>10</v>
      </c>
    </row>
    <row r="33" spans="1:7">
      <c r="A33" t="s">
        <v>96</v>
      </c>
      <c r="B33">
        <v>33000</v>
      </c>
      <c r="C33">
        <v>6.96</v>
      </c>
      <c r="D33" t="s">
        <v>1280</v>
      </c>
      <c r="E33" t="s">
        <v>98</v>
      </c>
      <c r="F33">
        <v>2026</v>
      </c>
      <c r="G33" t="s">
        <v>10</v>
      </c>
    </row>
    <row r="34" spans="1:7">
      <c r="A34" t="s">
        <v>99</v>
      </c>
      <c r="B34">
        <v>30000</v>
      </c>
      <c r="C34">
        <v>7.81</v>
      </c>
      <c r="D34" t="s">
        <v>237</v>
      </c>
      <c r="E34" t="s">
        <v>101</v>
      </c>
      <c r="F34">
        <v>2026</v>
      </c>
      <c r="G34" t="s">
        <v>10</v>
      </c>
    </row>
    <row r="35" spans="1:7">
      <c r="A35" t="s">
        <v>102</v>
      </c>
      <c r="B35">
        <v>25000</v>
      </c>
      <c r="C35">
        <v>6.59</v>
      </c>
      <c r="D35" t="s">
        <v>183</v>
      </c>
      <c r="E35" t="s">
        <v>104</v>
      </c>
      <c r="F35">
        <v>2026</v>
      </c>
      <c r="G35" t="s">
        <v>10</v>
      </c>
    </row>
    <row r="36" spans="1:7">
      <c r="A36" t="s">
        <v>105</v>
      </c>
      <c r="B36">
        <v>24000</v>
      </c>
      <c r="C36">
        <v>6.52</v>
      </c>
      <c r="D36" t="s">
        <v>237</v>
      </c>
      <c r="E36" t="s">
        <v>107</v>
      </c>
      <c r="F36">
        <v>2026</v>
      </c>
      <c r="G36" t="s">
        <v>10</v>
      </c>
    </row>
    <row r="37" spans="1:7">
      <c r="A37" t="s">
        <v>108</v>
      </c>
      <c r="B37">
        <v>22000</v>
      </c>
      <c r="C37">
        <v>6.27</v>
      </c>
      <c r="D37" t="s">
        <v>57</v>
      </c>
      <c r="E37" t="s">
        <v>110</v>
      </c>
      <c r="F37">
        <v>2026</v>
      </c>
      <c r="G37" t="s">
        <v>10</v>
      </c>
    </row>
    <row r="38" spans="1:7">
      <c r="A38" t="s">
        <v>111</v>
      </c>
      <c r="B38">
        <v>20000</v>
      </c>
      <c r="C38">
        <v>6.76</v>
      </c>
      <c r="D38" t="s">
        <v>167</v>
      </c>
      <c r="E38" t="s">
        <v>113</v>
      </c>
      <c r="F38">
        <v>2026</v>
      </c>
      <c r="G38" t="s">
        <v>10</v>
      </c>
    </row>
    <row r="39" spans="1:7">
      <c r="A39" t="s">
        <v>114</v>
      </c>
      <c r="B39">
        <v>13000</v>
      </c>
      <c r="C39">
        <v>6.21</v>
      </c>
      <c r="D39" t="s">
        <v>237</v>
      </c>
      <c r="E39" t="s">
        <v>116</v>
      </c>
      <c r="F39">
        <v>2026</v>
      </c>
      <c r="G39" t="s">
        <v>10</v>
      </c>
    </row>
    <row r="40" spans="1:7">
      <c r="A40" t="s">
        <v>117</v>
      </c>
      <c r="B40">
        <v>9000</v>
      </c>
      <c r="C40">
        <v>7.1</v>
      </c>
      <c r="D40" t="s">
        <v>167</v>
      </c>
      <c r="E40" t="s">
        <v>18</v>
      </c>
      <c r="F40">
        <v>2026</v>
      </c>
      <c r="G40" t="s">
        <v>10</v>
      </c>
    </row>
    <row r="41" spans="1:7">
      <c r="A41" t="s">
        <v>119</v>
      </c>
      <c r="B41">
        <v>8900</v>
      </c>
      <c r="C41">
        <v>7.2</v>
      </c>
      <c r="D41" t="s">
        <v>183</v>
      </c>
      <c r="E41" t="s">
        <v>121</v>
      </c>
      <c r="F41">
        <v>2026</v>
      </c>
      <c r="G41" t="s">
        <v>10</v>
      </c>
    </row>
    <row r="42" spans="1:7">
      <c r="A42" t="s">
        <v>122</v>
      </c>
      <c r="B42">
        <v>7200</v>
      </c>
      <c r="C42">
        <v>6.27</v>
      </c>
      <c r="D42" t="s">
        <v>183</v>
      </c>
      <c r="E42" t="s">
        <v>124</v>
      </c>
      <c r="F42">
        <v>2026</v>
      </c>
      <c r="G42" t="s">
        <v>10</v>
      </c>
    </row>
    <row r="43" spans="1:7">
      <c r="A43" t="s">
        <v>125</v>
      </c>
      <c r="B43">
        <v>7100</v>
      </c>
      <c r="C43">
        <v>4.67</v>
      </c>
      <c r="D43" t="s">
        <v>126</v>
      </c>
      <c r="E43" t="s">
        <v>127</v>
      </c>
      <c r="F43">
        <v>2026</v>
      </c>
      <c r="G43" t="s">
        <v>10</v>
      </c>
    </row>
    <row r="44" spans="1:7">
      <c r="A44" t="s">
        <v>128</v>
      </c>
      <c r="B44">
        <v>6300</v>
      </c>
      <c r="C44">
        <v>5.68</v>
      </c>
      <c r="D44" t="s">
        <v>1282</v>
      </c>
      <c r="E44" t="s">
        <v>130</v>
      </c>
      <c r="F44">
        <v>2026</v>
      </c>
      <c r="G44" t="s">
        <v>10</v>
      </c>
    </row>
    <row r="45" spans="1:7">
      <c r="A45" t="s">
        <v>131</v>
      </c>
      <c r="B45">
        <v>4600</v>
      </c>
      <c r="C45">
        <v>7.55</v>
      </c>
      <c r="D45" t="s">
        <v>183</v>
      </c>
      <c r="E45" t="s">
        <v>133</v>
      </c>
      <c r="F45">
        <v>2026</v>
      </c>
      <c r="G45" t="s">
        <v>10</v>
      </c>
    </row>
    <row r="46" spans="1:7">
      <c r="A46" t="s">
        <v>134</v>
      </c>
      <c r="B46">
        <v>4100</v>
      </c>
      <c r="C46">
        <v>5.7</v>
      </c>
      <c r="D46" t="s">
        <v>167</v>
      </c>
      <c r="E46" t="s">
        <v>136</v>
      </c>
      <c r="F46">
        <v>2026</v>
      </c>
      <c r="G46" t="s">
        <v>10</v>
      </c>
    </row>
    <row r="47" spans="1:7">
      <c r="A47" t="s">
        <v>137</v>
      </c>
      <c r="B47">
        <v>2600</v>
      </c>
      <c r="C47">
        <v>5.76</v>
      </c>
      <c r="D47" t="s">
        <v>1283</v>
      </c>
      <c r="E47" t="s">
        <v>139</v>
      </c>
      <c r="F47">
        <v>2026</v>
      </c>
      <c r="G47" t="s">
        <v>10</v>
      </c>
    </row>
    <row r="48" spans="1:7">
      <c r="A48" t="s">
        <v>140</v>
      </c>
      <c r="B48">
        <v>2100</v>
      </c>
      <c r="C48">
        <v>5.63</v>
      </c>
      <c r="D48" t="s">
        <v>167</v>
      </c>
      <c r="E48" t="s">
        <v>142</v>
      </c>
      <c r="F48">
        <v>2026</v>
      </c>
      <c r="G48" t="s">
        <v>10</v>
      </c>
    </row>
    <row r="49" spans="1:7">
      <c r="A49" t="s">
        <v>143</v>
      </c>
      <c r="B49">
        <v>1600</v>
      </c>
      <c r="C49">
        <v>6.31</v>
      </c>
      <c r="D49" t="s">
        <v>183</v>
      </c>
      <c r="E49" t="s">
        <v>145</v>
      </c>
      <c r="F49">
        <v>2026</v>
      </c>
      <c r="G49" t="s">
        <v>10</v>
      </c>
    </row>
    <row r="50" spans="1:7">
      <c r="A50" t="s">
        <v>146</v>
      </c>
      <c r="B50">
        <v>2700000</v>
      </c>
      <c r="C50">
        <v>8.73</v>
      </c>
      <c r="D50" t="s">
        <v>183</v>
      </c>
      <c r="E50" t="s">
        <v>133</v>
      </c>
      <c r="F50">
        <v>2026</v>
      </c>
      <c r="G50" t="s">
        <v>10</v>
      </c>
    </row>
    <row r="51" spans="1:7">
      <c r="A51" t="s">
        <v>148</v>
      </c>
      <c r="B51">
        <v>377000</v>
      </c>
      <c r="C51">
        <v>8.18</v>
      </c>
      <c r="D51" t="s">
        <v>1046</v>
      </c>
      <c r="E51" t="s">
        <v>150</v>
      </c>
      <c r="F51">
        <v>2026</v>
      </c>
      <c r="G51" t="s">
        <v>10</v>
      </c>
    </row>
    <row r="52" spans="1:7">
      <c r="A52" t="s">
        <v>151</v>
      </c>
      <c r="B52">
        <v>148000</v>
      </c>
      <c r="C52">
        <v>7.47</v>
      </c>
      <c r="D52" t="s">
        <v>1046</v>
      </c>
      <c r="E52" t="s">
        <v>153</v>
      </c>
      <c r="F52">
        <v>2026</v>
      </c>
      <c r="G52" t="s">
        <v>10</v>
      </c>
    </row>
    <row r="53" spans="1:7">
      <c r="A53" t="s">
        <v>154</v>
      </c>
      <c r="B53">
        <v>81000</v>
      </c>
      <c r="C53">
        <v>7.43</v>
      </c>
      <c r="D53" t="s">
        <v>167</v>
      </c>
      <c r="E53" t="s">
        <v>156</v>
      </c>
      <c r="F53">
        <v>2026</v>
      </c>
      <c r="G53" t="s">
        <v>10</v>
      </c>
    </row>
    <row r="54" spans="1:7">
      <c r="A54" t="s">
        <v>157</v>
      </c>
      <c r="B54">
        <v>60000</v>
      </c>
      <c r="C54">
        <v>7.82</v>
      </c>
      <c r="D54" t="s">
        <v>183</v>
      </c>
      <c r="E54" t="s">
        <v>159</v>
      </c>
      <c r="F54">
        <v>2026</v>
      </c>
      <c r="G54" t="s">
        <v>10</v>
      </c>
    </row>
    <row r="55" spans="1:7">
      <c r="A55" t="s">
        <v>160</v>
      </c>
      <c r="B55">
        <v>49000</v>
      </c>
      <c r="C55">
        <v>7.87</v>
      </c>
      <c r="D55" t="s">
        <v>485</v>
      </c>
      <c r="E55" t="s">
        <v>162</v>
      </c>
      <c r="F55">
        <v>2026</v>
      </c>
      <c r="G55" t="s">
        <v>10</v>
      </c>
    </row>
    <row r="56" spans="1:7">
      <c r="A56" t="s">
        <v>163</v>
      </c>
      <c r="B56">
        <v>17000</v>
      </c>
      <c r="C56">
        <v>7.52</v>
      </c>
      <c r="D56" t="s">
        <v>237</v>
      </c>
      <c r="E56" t="s">
        <v>165</v>
      </c>
      <c r="F56">
        <v>2026</v>
      </c>
      <c r="G56" t="s">
        <v>10</v>
      </c>
    </row>
    <row r="57" spans="1:7">
      <c r="A57" t="s">
        <v>166</v>
      </c>
      <c r="B57">
        <v>10000</v>
      </c>
      <c r="C57">
        <v>6.16</v>
      </c>
      <c r="D57" t="s">
        <v>167</v>
      </c>
      <c r="E57" t="s">
        <v>168</v>
      </c>
      <c r="F57">
        <v>2026</v>
      </c>
      <c r="G57" t="s">
        <v>10</v>
      </c>
    </row>
    <row r="58" spans="1:7">
      <c r="A58" t="s">
        <v>169</v>
      </c>
      <c r="B58">
        <v>9300</v>
      </c>
      <c r="C58">
        <v>6.38</v>
      </c>
      <c r="D58" t="s">
        <v>183</v>
      </c>
      <c r="E58" t="s">
        <v>171</v>
      </c>
      <c r="F58">
        <v>2026</v>
      </c>
      <c r="G58" t="s">
        <v>10</v>
      </c>
    </row>
    <row r="59" spans="1:7">
      <c r="A59" t="s">
        <v>172</v>
      </c>
      <c r="B59">
        <v>8800</v>
      </c>
      <c r="C59">
        <v>7.46</v>
      </c>
      <c r="D59" t="s">
        <v>167</v>
      </c>
      <c r="E59" t="s">
        <v>165</v>
      </c>
      <c r="F59">
        <v>2026</v>
      </c>
      <c r="G59" t="s">
        <v>10</v>
      </c>
    </row>
    <row r="60" spans="1:7">
      <c r="A60" t="s">
        <v>174</v>
      </c>
      <c r="B60">
        <v>8500</v>
      </c>
      <c r="C60">
        <v>6.42</v>
      </c>
      <c r="D60" t="s">
        <v>183</v>
      </c>
      <c r="E60" t="s">
        <v>176</v>
      </c>
      <c r="F60">
        <v>2026</v>
      </c>
      <c r="G60" t="s">
        <v>10</v>
      </c>
    </row>
    <row r="61" spans="1:7">
      <c r="A61" t="s">
        <v>177</v>
      </c>
      <c r="B61">
        <v>7500</v>
      </c>
      <c r="C61">
        <v>7.31</v>
      </c>
      <c r="D61" t="s">
        <v>183</v>
      </c>
      <c r="E61" t="s">
        <v>110</v>
      </c>
      <c r="F61">
        <v>2026</v>
      </c>
      <c r="G61" t="s">
        <v>10</v>
      </c>
    </row>
    <row r="62" spans="1:7">
      <c r="A62" t="s">
        <v>179</v>
      </c>
      <c r="B62">
        <v>6500</v>
      </c>
      <c r="C62">
        <v>7.52</v>
      </c>
      <c r="D62" t="s">
        <v>231</v>
      </c>
      <c r="E62" t="s">
        <v>181</v>
      </c>
      <c r="F62">
        <v>2026</v>
      </c>
      <c r="G62" t="s">
        <v>10</v>
      </c>
    </row>
    <row r="63" spans="1:7">
      <c r="A63" t="s">
        <v>182</v>
      </c>
      <c r="B63">
        <v>3900</v>
      </c>
      <c r="C63">
        <v>5.59</v>
      </c>
      <c r="D63" t="s">
        <v>183</v>
      </c>
      <c r="E63" t="s">
        <v>104</v>
      </c>
      <c r="F63">
        <v>2026</v>
      </c>
      <c r="G63" t="s">
        <v>10</v>
      </c>
    </row>
    <row r="64" spans="1:7">
      <c r="A64" t="s">
        <v>184</v>
      </c>
      <c r="B64">
        <v>182000</v>
      </c>
      <c r="C64">
        <v>9.18</v>
      </c>
      <c r="D64" t="s">
        <v>183</v>
      </c>
      <c r="E64" t="s">
        <v>24</v>
      </c>
      <c r="F64">
        <v>2026</v>
      </c>
      <c r="G64" t="s">
        <v>10</v>
      </c>
    </row>
    <row r="65" spans="1:7">
      <c r="A65" t="s">
        <v>186</v>
      </c>
      <c r="B65">
        <v>79000</v>
      </c>
      <c r="C65">
        <v>8.5</v>
      </c>
      <c r="D65" t="s">
        <v>183</v>
      </c>
      <c r="E65" t="s">
        <v>188</v>
      </c>
      <c r="F65">
        <v>2026</v>
      </c>
      <c r="G65" t="s">
        <v>10</v>
      </c>
    </row>
    <row r="66" spans="1:7">
      <c r="A66" t="s">
        <v>189</v>
      </c>
      <c r="B66">
        <v>50000</v>
      </c>
      <c r="C66">
        <v>8.52</v>
      </c>
      <c r="D66" t="s">
        <v>237</v>
      </c>
      <c r="E66" t="s">
        <v>191</v>
      </c>
      <c r="F66">
        <v>2026</v>
      </c>
      <c r="G66" t="s">
        <v>10</v>
      </c>
    </row>
    <row r="67" spans="1:7">
      <c r="A67" t="s">
        <v>192</v>
      </c>
      <c r="B67">
        <v>28000</v>
      </c>
      <c r="C67">
        <v>7.51</v>
      </c>
      <c r="D67" t="s">
        <v>183</v>
      </c>
      <c r="E67" t="s">
        <v>150</v>
      </c>
      <c r="F67">
        <v>2026</v>
      </c>
      <c r="G67" t="s">
        <v>10</v>
      </c>
    </row>
    <row r="68" spans="1:7">
      <c r="A68" t="s">
        <v>194</v>
      </c>
      <c r="B68">
        <v>15000</v>
      </c>
      <c r="C68">
        <v>8.2899999999999991</v>
      </c>
      <c r="D68" t="s">
        <v>183</v>
      </c>
      <c r="E68" t="s">
        <v>195</v>
      </c>
      <c r="F68">
        <v>2026</v>
      </c>
      <c r="G68" t="s">
        <v>10</v>
      </c>
    </row>
    <row r="69" spans="1:7">
      <c r="A69" t="s">
        <v>196</v>
      </c>
      <c r="B69">
        <v>14000</v>
      </c>
      <c r="C69">
        <v>7.84</v>
      </c>
      <c r="D69" t="s">
        <v>183</v>
      </c>
      <c r="E69" t="s">
        <v>198</v>
      </c>
      <c r="F69">
        <v>2026</v>
      </c>
      <c r="G69" t="s">
        <v>10</v>
      </c>
    </row>
    <row r="70" spans="1:7">
      <c r="A70" t="s">
        <v>199</v>
      </c>
      <c r="B70">
        <v>12000</v>
      </c>
      <c r="C70">
        <v>8.39</v>
      </c>
      <c r="D70" t="s">
        <v>183</v>
      </c>
      <c r="E70" t="s">
        <v>200</v>
      </c>
      <c r="F70">
        <v>2026</v>
      </c>
      <c r="G70" t="s">
        <v>10</v>
      </c>
    </row>
    <row r="71" spans="1:7">
      <c r="A71" t="s">
        <v>201</v>
      </c>
      <c r="B71">
        <v>11000</v>
      </c>
      <c r="C71">
        <v>8.49</v>
      </c>
      <c r="D71" t="s">
        <v>183</v>
      </c>
      <c r="E71" t="s">
        <v>203</v>
      </c>
      <c r="F71">
        <v>2026</v>
      </c>
      <c r="G71" t="s">
        <v>10</v>
      </c>
    </row>
    <row r="72" spans="1:7">
      <c r="A72" t="s">
        <v>204</v>
      </c>
      <c r="B72">
        <v>6900</v>
      </c>
      <c r="C72">
        <v>8.06</v>
      </c>
      <c r="D72" t="s">
        <v>183</v>
      </c>
      <c r="E72" t="s">
        <v>195</v>
      </c>
      <c r="F72">
        <v>2026</v>
      </c>
      <c r="G72" t="s">
        <v>10</v>
      </c>
    </row>
    <row r="73" spans="1:7">
      <c r="A73" t="s">
        <v>206</v>
      </c>
      <c r="B73">
        <v>5900</v>
      </c>
      <c r="C73">
        <v>8.36</v>
      </c>
      <c r="D73" t="s">
        <v>183</v>
      </c>
      <c r="E73" t="s">
        <v>195</v>
      </c>
      <c r="F73">
        <v>2026</v>
      </c>
      <c r="G73" t="s">
        <v>10</v>
      </c>
    </row>
    <row r="74" spans="1:7">
      <c r="A74" t="s">
        <v>208</v>
      </c>
      <c r="B74">
        <v>5000</v>
      </c>
      <c r="C74">
        <v>6.38</v>
      </c>
      <c r="D74" t="s">
        <v>183</v>
      </c>
      <c r="E74" t="s">
        <v>210</v>
      </c>
      <c r="F74">
        <v>2026</v>
      </c>
      <c r="G74" t="s">
        <v>10</v>
      </c>
    </row>
    <row r="75" spans="1:7">
      <c r="A75" t="s">
        <v>211</v>
      </c>
      <c r="B75">
        <v>3800</v>
      </c>
      <c r="C75">
        <v>7.4</v>
      </c>
      <c r="D75" t="s">
        <v>183</v>
      </c>
      <c r="E75" t="s">
        <v>212</v>
      </c>
      <c r="F75">
        <v>2026</v>
      </c>
      <c r="G75" t="s">
        <v>10</v>
      </c>
    </row>
    <row r="76" spans="1:7">
      <c r="A76" t="s">
        <v>213</v>
      </c>
      <c r="B76">
        <v>3400</v>
      </c>
      <c r="C76">
        <v>6.9</v>
      </c>
      <c r="D76" t="s">
        <v>1280</v>
      </c>
      <c r="E76" t="s">
        <v>215</v>
      </c>
      <c r="F76">
        <v>2026</v>
      </c>
      <c r="G76" t="s">
        <v>10</v>
      </c>
    </row>
    <row r="77" spans="1:7">
      <c r="A77" t="s">
        <v>216</v>
      </c>
      <c r="B77">
        <v>1700</v>
      </c>
      <c r="C77">
        <v>6.91</v>
      </c>
      <c r="D77" t="s">
        <v>183</v>
      </c>
      <c r="E77" t="s">
        <v>218</v>
      </c>
      <c r="F77">
        <v>2026</v>
      </c>
      <c r="G77" t="s">
        <v>10</v>
      </c>
    </row>
    <row r="78" spans="1:7">
      <c r="A78" t="s">
        <v>219</v>
      </c>
      <c r="B78">
        <v>1200</v>
      </c>
      <c r="C78">
        <v>7.94</v>
      </c>
      <c r="D78" t="s">
        <v>183</v>
      </c>
      <c r="E78" t="s">
        <v>220</v>
      </c>
      <c r="F78">
        <v>2026</v>
      </c>
      <c r="G78" t="s">
        <v>10</v>
      </c>
    </row>
    <row r="79" spans="1:7">
      <c r="A79" t="s">
        <v>221</v>
      </c>
      <c r="B79">
        <v>945</v>
      </c>
      <c r="C79">
        <v>7.42</v>
      </c>
      <c r="D79" t="s">
        <v>183</v>
      </c>
      <c r="E79" t="s">
        <v>222</v>
      </c>
      <c r="F79">
        <v>2026</v>
      </c>
      <c r="G79" t="s">
        <v>10</v>
      </c>
    </row>
    <row r="80" spans="1:7">
      <c r="A80" t="s">
        <v>223</v>
      </c>
      <c r="B80">
        <v>915</v>
      </c>
      <c r="C80">
        <v>7.35</v>
      </c>
      <c r="D80" t="s">
        <v>183</v>
      </c>
      <c r="E80" t="s">
        <v>224</v>
      </c>
      <c r="F80">
        <v>2026</v>
      </c>
      <c r="G80" t="s">
        <v>10</v>
      </c>
    </row>
    <row r="81" spans="1:7">
      <c r="A81" t="s">
        <v>225</v>
      </c>
      <c r="B81">
        <v>755</v>
      </c>
      <c r="C81">
        <v>6.9</v>
      </c>
      <c r="D81" t="s">
        <v>183</v>
      </c>
      <c r="E81" t="s">
        <v>200</v>
      </c>
      <c r="F81">
        <v>2026</v>
      </c>
      <c r="G81" t="s">
        <v>10</v>
      </c>
    </row>
    <row r="82" spans="1:7">
      <c r="A82" t="s">
        <v>226</v>
      </c>
      <c r="B82">
        <v>654</v>
      </c>
      <c r="C82">
        <v>6.88</v>
      </c>
      <c r="D82" t="s">
        <v>183</v>
      </c>
      <c r="E82" t="s">
        <v>227</v>
      </c>
      <c r="F82">
        <v>2026</v>
      </c>
      <c r="G82" t="s">
        <v>10</v>
      </c>
    </row>
    <row r="83" spans="1:7">
      <c r="A83" t="s">
        <v>228</v>
      </c>
      <c r="B83">
        <v>651</v>
      </c>
      <c r="C83">
        <v>6.96</v>
      </c>
      <c r="D83" t="s">
        <v>183</v>
      </c>
      <c r="E83" t="s">
        <v>229</v>
      </c>
      <c r="F83">
        <v>2026</v>
      </c>
      <c r="G83" t="s">
        <v>10</v>
      </c>
    </row>
    <row r="84" spans="1:7">
      <c r="A84" t="s">
        <v>230</v>
      </c>
      <c r="B84">
        <v>348</v>
      </c>
      <c r="C84">
        <v>6.32</v>
      </c>
      <c r="D84" t="s">
        <v>231</v>
      </c>
      <c r="E84" t="s">
        <v>232</v>
      </c>
      <c r="F84">
        <v>2026</v>
      </c>
      <c r="G84" t="s">
        <v>10</v>
      </c>
    </row>
    <row r="85" spans="1:7">
      <c r="A85" t="s">
        <v>233</v>
      </c>
      <c r="B85">
        <v>16000</v>
      </c>
      <c r="C85">
        <v>6.91</v>
      </c>
      <c r="D85" t="s">
        <v>183</v>
      </c>
      <c r="E85" t="s">
        <v>235</v>
      </c>
      <c r="F85">
        <v>2026</v>
      </c>
      <c r="G85" t="s">
        <v>10</v>
      </c>
    </row>
    <row r="86" spans="1:7">
      <c r="A86" t="s">
        <v>236</v>
      </c>
      <c r="B86">
        <v>9100</v>
      </c>
      <c r="C86">
        <v>6.69</v>
      </c>
      <c r="D86" t="s">
        <v>237</v>
      </c>
      <c r="E86" t="s">
        <v>238</v>
      </c>
      <c r="F86">
        <v>2026</v>
      </c>
      <c r="G86" t="s">
        <v>10</v>
      </c>
    </row>
    <row r="87" spans="1:7">
      <c r="A87" t="s">
        <v>239</v>
      </c>
      <c r="B87">
        <v>2700</v>
      </c>
      <c r="C87">
        <v>7.08</v>
      </c>
      <c r="D87" t="s">
        <v>167</v>
      </c>
      <c r="E87" t="s">
        <v>241</v>
      </c>
      <c r="F87">
        <v>2026</v>
      </c>
      <c r="G87" t="s">
        <v>10</v>
      </c>
    </row>
    <row r="88" spans="1:7">
      <c r="A88" t="s">
        <v>242</v>
      </c>
      <c r="B88">
        <v>31000</v>
      </c>
      <c r="C88">
        <v>8.07</v>
      </c>
      <c r="D88" t="s">
        <v>167</v>
      </c>
      <c r="E88" t="s">
        <v>244</v>
      </c>
      <c r="F88">
        <v>2026</v>
      </c>
      <c r="G88" t="s">
        <v>10</v>
      </c>
    </row>
    <row r="89" spans="1:7">
      <c r="A89" t="s">
        <v>245</v>
      </c>
      <c r="B89">
        <v>5700</v>
      </c>
      <c r="C89">
        <v>7.75</v>
      </c>
      <c r="D89" t="s">
        <v>485</v>
      </c>
      <c r="E89" t="s">
        <v>247</v>
      </c>
      <c r="F89">
        <v>2026</v>
      </c>
      <c r="G89" t="s">
        <v>10</v>
      </c>
    </row>
    <row r="90" spans="1:7">
      <c r="A90" t="s">
        <v>248</v>
      </c>
      <c r="B90">
        <v>2400</v>
      </c>
      <c r="C90">
        <v>6.85</v>
      </c>
      <c r="D90" t="s">
        <v>183</v>
      </c>
      <c r="E90" t="s">
        <v>250</v>
      </c>
      <c r="F90">
        <v>2026</v>
      </c>
      <c r="G90" t="s">
        <v>10</v>
      </c>
    </row>
    <row r="91" spans="1:7">
      <c r="A91" t="s">
        <v>251</v>
      </c>
      <c r="B91">
        <v>1400</v>
      </c>
      <c r="C91">
        <v>6.5</v>
      </c>
      <c r="D91" t="s">
        <v>1281</v>
      </c>
      <c r="E91" t="s">
        <v>253</v>
      </c>
      <c r="F91">
        <v>2026</v>
      </c>
      <c r="G91" t="s">
        <v>10</v>
      </c>
    </row>
    <row r="92" spans="1:7">
      <c r="A92" t="s">
        <v>254</v>
      </c>
      <c r="B92">
        <v>146000</v>
      </c>
      <c r="C92">
        <v>8.23</v>
      </c>
      <c r="D92" t="s">
        <v>183</v>
      </c>
      <c r="E92" t="s">
        <v>256</v>
      </c>
      <c r="F92">
        <v>2026</v>
      </c>
      <c r="G92" t="s">
        <v>257</v>
      </c>
    </row>
    <row r="93" spans="1:7">
      <c r="A93" t="s">
        <v>258</v>
      </c>
      <c r="B93">
        <v>108000</v>
      </c>
      <c r="C93">
        <v>8.2200000000000006</v>
      </c>
      <c r="D93" t="s">
        <v>1280</v>
      </c>
      <c r="E93" t="s">
        <v>70</v>
      </c>
      <c r="F93">
        <v>2026</v>
      </c>
      <c r="G93" t="s">
        <v>257</v>
      </c>
    </row>
    <row r="94" spans="1:7">
      <c r="A94" t="s">
        <v>260</v>
      </c>
      <c r="B94">
        <v>102000</v>
      </c>
      <c r="C94">
        <v>8.32</v>
      </c>
      <c r="D94" t="s">
        <v>1046</v>
      </c>
      <c r="E94" t="s">
        <v>150</v>
      </c>
      <c r="F94">
        <v>2026</v>
      </c>
      <c r="G94" t="s">
        <v>257</v>
      </c>
    </row>
    <row r="95" spans="1:7">
      <c r="A95" t="s">
        <v>262</v>
      </c>
      <c r="B95">
        <v>57000</v>
      </c>
      <c r="C95">
        <v>8.06</v>
      </c>
      <c r="D95" t="s">
        <v>57</v>
      </c>
      <c r="E95" t="s">
        <v>191</v>
      </c>
      <c r="F95">
        <v>2026</v>
      </c>
      <c r="G95" t="s">
        <v>257</v>
      </c>
    </row>
    <row r="96" spans="1:7">
      <c r="A96" t="s">
        <v>264</v>
      </c>
      <c r="B96">
        <v>56000</v>
      </c>
      <c r="C96">
        <v>7.99</v>
      </c>
      <c r="D96" t="s">
        <v>167</v>
      </c>
      <c r="E96" t="s">
        <v>266</v>
      </c>
      <c r="F96">
        <v>2026</v>
      </c>
      <c r="G96" t="s">
        <v>257</v>
      </c>
    </row>
    <row r="97" spans="1:7">
      <c r="A97" t="s">
        <v>267</v>
      </c>
      <c r="B97">
        <v>35000</v>
      </c>
      <c r="C97">
        <v>7.63</v>
      </c>
      <c r="D97" t="s">
        <v>167</v>
      </c>
      <c r="E97" t="s">
        <v>18</v>
      </c>
      <c r="F97">
        <v>2026</v>
      </c>
      <c r="G97" t="s">
        <v>257</v>
      </c>
    </row>
    <row r="98" spans="1:7">
      <c r="A98" t="s">
        <v>269</v>
      </c>
      <c r="B98">
        <v>32000</v>
      </c>
      <c r="C98">
        <v>7.29</v>
      </c>
      <c r="D98" t="s">
        <v>167</v>
      </c>
      <c r="E98" t="s">
        <v>18</v>
      </c>
      <c r="F98">
        <v>2026</v>
      </c>
      <c r="G98" t="s">
        <v>257</v>
      </c>
    </row>
    <row r="99" spans="1:7">
      <c r="A99" t="s">
        <v>271</v>
      </c>
      <c r="B99">
        <v>23000</v>
      </c>
      <c r="C99">
        <v>6.43</v>
      </c>
      <c r="D99" t="s">
        <v>1046</v>
      </c>
      <c r="E99" t="s">
        <v>273</v>
      </c>
      <c r="F99">
        <v>2026</v>
      </c>
      <c r="G99" t="s">
        <v>257</v>
      </c>
    </row>
    <row r="100" spans="1:7">
      <c r="A100" t="s">
        <v>274</v>
      </c>
      <c r="B100">
        <v>18000</v>
      </c>
      <c r="C100">
        <v>7.13</v>
      </c>
      <c r="D100" t="s">
        <v>167</v>
      </c>
      <c r="E100" t="s">
        <v>276</v>
      </c>
      <c r="F100">
        <v>2026</v>
      </c>
      <c r="G100" t="s">
        <v>257</v>
      </c>
    </row>
    <row r="101" spans="1:7">
      <c r="A101" t="s">
        <v>277</v>
      </c>
      <c r="B101">
        <v>53000</v>
      </c>
      <c r="C101">
        <v>8.34</v>
      </c>
      <c r="D101" t="s">
        <v>183</v>
      </c>
      <c r="E101" t="s">
        <v>13</v>
      </c>
      <c r="F101">
        <v>2026</v>
      </c>
      <c r="G101" t="s">
        <v>257</v>
      </c>
    </row>
    <row r="102" spans="1:7">
      <c r="A102" t="s">
        <v>279</v>
      </c>
      <c r="B102">
        <v>763000</v>
      </c>
      <c r="C102">
        <v>8.5500000000000007</v>
      </c>
      <c r="D102" t="s">
        <v>183</v>
      </c>
      <c r="E102" t="s">
        <v>27</v>
      </c>
      <c r="F102">
        <v>2025</v>
      </c>
      <c r="G102" t="s">
        <v>10</v>
      </c>
    </row>
    <row r="103" spans="1:7">
      <c r="A103" t="s">
        <v>281</v>
      </c>
      <c r="B103">
        <v>495000</v>
      </c>
      <c r="C103">
        <v>7.59</v>
      </c>
      <c r="D103" t="s">
        <v>183</v>
      </c>
      <c r="E103" t="s">
        <v>150</v>
      </c>
      <c r="F103">
        <v>2025</v>
      </c>
      <c r="G103" t="s">
        <v>10</v>
      </c>
    </row>
    <row r="104" spans="1:7">
      <c r="A104" t="s">
        <v>283</v>
      </c>
      <c r="B104">
        <v>487000</v>
      </c>
      <c r="C104">
        <v>8.91</v>
      </c>
      <c r="D104" t="s">
        <v>237</v>
      </c>
      <c r="E104" t="s">
        <v>285</v>
      </c>
      <c r="F104">
        <v>2025</v>
      </c>
      <c r="G104" t="s">
        <v>10</v>
      </c>
    </row>
    <row r="105" spans="1:7">
      <c r="A105" t="s">
        <v>286</v>
      </c>
      <c r="B105">
        <v>299000</v>
      </c>
      <c r="C105">
        <v>8.25</v>
      </c>
      <c r="D105" t="s">
        <v>1046</v>
      </c>
      <c r="E105" t="s">
        <v>150</v>
      </c>
      <c r="F105">
        <v>2025</v>
      </c>
      <c r="G105" t="s">
        <v>10</v>
      </c>
    </row>
    <row r="106" spans="1:7">
      <c r="A106" t="s">
        <v>287</v>
      </c>
      <c r="B106">
        <v>173000</v>
      </c>
      <c r="C106">
        <v>7.89</v>
      </c>
      <c r="D106" t="s">
        <v>167</v>
      </c>
      <c r="E106" t="s">
        <v>289</v>
      </c>
      <c r="F106">
        <v>2025</v>
      </c>
      <c r="G106" t="s">
        <v>10</v>
      </c>
    </row>
    <row r="107" spans="1:7">
      <c r="A107" t="s">
        <v>290</v>
      </c>
      <c r="B107">
        <v>169000</v>
      </c>
      <c r="C107">
        <v>7.57</v>
      </c>
      <c r="D107" t="s">
        <v>183</v>
      </c>
      <c r="E107" t="s">
        <v>13</v>
      </c>
      <c r="F107">
        <v>2025</v>
      </c>
      <c r="G107" t="s">
        <v>10</v>
      </c>
    </row>
    <row r="108" spans="1:7">
      <c r="A108" t="s">
        <v>292</v>
      </c>
      <c r="B108">
        <v>163000</v>
      </c>
      <c r="C108">
        <v>6.74</v>
      </c>
      <c r="D108" t="s">
        <v>167</v>
      </c>
      <c r="E108" t="s">
        <v>294</v>
      </c>
      <c r="F108">
        <v>2025</v>
      </c>
      <c r="G108" t="s">
        <v>10</v>
      </c>
    </row>
    <row r="109" spans="1:7">
      <c r="A109" t="s">
        <v>295</v>
      </c>
      <c r="B109">
        <v>151000</v>
      </c>
      <c r="C109">
        <v>7.42</v>
      </c>
      <c r="D109" t="s">
        <v>237</v>
      </c>
      <c r="E109" t="s">
        <v>297</v>
      </c>
      <c r="F109">
        <v>2025</v>
      </c>
      <c r="G109" t="s">
        <v>10</v>
      </c>
    </row>
    <row r="110" spans="1:7">
      <c r="A110" t="s">
        <v>298</v>
      </c>
      <c r="B110">
        <v>147000</v>
      </c>
      <c r="C110">
        <v>6.64</v>
      </c>
      <c r="D110" t="s">
        <v>183</v>
      </c>
      <c r="E110" t="s">
        <v>300</v>
      </c>
      <c r="F110">
        <v>2025</v>
      </c>
      <c r="G110" t="s">
        <v>10</v>
      </c>
    </row>
    <row r="111" spans="1:7">
      <c r="A111" t="s">
        <v>301</v>
      </c>
      <c r="B111">
        <v>135000</v>
      </c>
      <c r="C111">
        <v>7.5</v>
      </c>
      <c r="D111" t="s">
        <v>167</v>
      </c>
      <c r="E111" t="s">
        <v>303</v>
      </c>
      <c r="F111">
        <v>2025</v>
      </c>
      <c r="G111" t="s">
        <v>10</v>
      </c>
    </row>
    <row r="112" spans="1:7">
      <c r="A112" t="s">
        <v>304</v>
      </c>
      <c r="B112">
        <v>130000</v>
      </c>
      <c r="C112">
        <v>6.33</v>
      </c>
      <c r="D112" t="s">
        <v>183</v>
      </c>
      <c r="E112" t="s">
        <v>86</v>
      </c>
      <c r="F112">
        <v>2025</v>
      </c>
      <c r="G112" t="s">
        <v>10</v>
      </c>
    </row>
    <row r="113" spans="1:7">
      <c r="A113" t="s">
        <v>305</v>
      </c>
      <c r="B113">
        <v>129000</v>
      </c>
      <c r="C113">
        <v>7.17</v>
      </c>
      <c r="D113" t="s">
        <v>1280</v>
      </c>
      <c r="E113" t="s">
        <v>307</v>
      </c>
      <c r="F113">
        <v>2025</v>
      </c>
      <c r="G113" t="s">
        <v>10</v>
      </c>
    </row>
    <row r="114" spans="1:7">
      <c r="A114" t="s">
        <v>308</v>
      </c>
      <c r="B114">
        <v>125000</v>
      </c>
      <c r="C114">
        <v>6.55</v>
      </c>
      <c r="D114" t="s">
        <v>167</v>
      </c>
      <c r="E114" t="s">
        <v>127</v>
      </c>
      <c r="F114">
        <v>2025</v>
      </c>
      <c r="G114" t="s">
        <v>10</v>
      </c>
    </row>
    <row r="115" spans="1:7">
      <c r="A115" t="s">
        <v>310</v>
      </c>
      <c r="B115">
        <v>123000</v>
      </c>
      <c r="C115">
        <v>6.61</v>
      </c>
      <c r="D115" t="s">
        <v>1046</v>
      </c>
      <c r="E115" t="s">
        <v>312</v>
      </c>
      <c r="F115">
        <v>2025</v>
      </c>
      <c r="G115" t="s">
        <v>10</v>
      </c>
    </row>
    <row r="116" spans="1:7">
      <c r="A116" t="s">
        <v>313</v>
      </c>
      <c r="B116">
        <v>120000</v>
      </c>
      <c r="C116">
        <v>6.58</v>
      </c>
      <c r="D116" t="s">
        <v>1046</v>
      </c>
      <c r="E116" t="s">
        <v>315</v>
      </c>
      <c r="F116">
        <v>2025</v>
      </c>
      <c r="G116" t="s">
        <v>10</v>
      </c>
    </row>
    <row r="117" spans="1:7">
      <c r="A117" t="s">
        <v>316</v>
      </c>
      <c r="B117">
        <v>112000</v>
      </c>
      <c r="C117">
        <v>6.55</v>
      </c>
      <c r="D117" t="s">
        <v>183</v>
      </c>
      <c r="E117" t="s">
        <v>266</v>
      </c>
      <c r="F117">
        <v>2025</v>
      </c>
      <c r="G117" t="s">
        <v>10</v>
      </c>
    </row>
    <row r="118" spans="1:7">
      <c r="A118" t="s">
        <v>318</v>
      </c>
      <c r="B118">
        <v>100000</v>
      </c>
      <c r="C118">
        <v>5.77</v>
      </c>
      <c r="D118" t="s">
        <v>183</v>
      </c>
      <c r="E118" t="s">
        <v>319</v>
      </c>
      <c r="F118">
        <v>2025</v>
      </c>
      <c r="G118" t="s">
        <v>10</v>
      </c>
    </row>
    <row r="119" spans="1:7">
      <c r="A119" t="s">
        <v>320</v>
      </c>
      <c r="B119">
        <v>99000</v>
      </c>
      <c r="C119">
        <v>6.34</v>
      </c>
      <c r="D119" t="s">
        <v>57</v>
      </c>
      <c r="E119" t="s">
        <v>322</v>
      </c>
      <c r="F119">
        <v>2025</v>
      </c>
      <c r="G119" t="s">
        <v>10</v>
      </c>
    </row>
    <row r="120" spans="1:7">
      <c r="A120" t="s">
        <v>323</v>
      </c>
      <c r="B120">
        <v>98000</v>
      </c>
      <c r="C120">
        <v>7.14</v>
      </c>
      <c r="D120" t="s">
        <v>1281</v>
      </c>
      <c r="E120" t="s">
        <v>70</v>
      </c>
      <c r="F120">
        <v>2025</v>
      </c>
      <c r="G120" t="s">
        <v>10</v>
      </c>
    </row>
    <row r="121" spans="1:7">
      <c r="A121" t="s">
        <v>325</v>
      </c>
      <c r="B121">
        <v>89000</v>
      </c>
      <c r="C121">
        <v>8.3800000000000008</v>
      </c>
      <c r="D121" t="s">
        <v>237</v>
      </c>
      <c r="E121" t="s">
        <v>89</v>
      </c>
      <c r="F121">
        <v>2025</v>
      </c>
      <c r="G121" t="s">
        <v>10</v>
      </c>
    </row>
    <row r="122" spans="1:7">
      <c r="A122" t="s">
        <v>326</v>
      </c>
      <c r="B122">
        <v>85000</v>
      </c>
      <c r="C122">
        <v>6.09</v>
      </c>
      <c r="D122" t="s">
        <v>1046</v>
      </c>
      <c r="E122" t="s">
        <v>328</v>
      </c>
      <c r="F122">
        <v>2025</v>
      </c>
      <c r="G122" t="s">
        <v>10</v>
      </c>
    </row>
    <row r="123" spans="1:7">
      <c r="A123" t="s">
        <v>329</v>
      </c>
      <c r="B123">
        <v>72000</v>
      </c>
      <c r="C123">
        <v>7.1</v>
      </c>
      <c r="D123" t="s">
        <v>167</v>
      </c>
      <c r="E123" t="s">
        <v>331</v>
      </c>
      <c r="F123">
        <v>2025</v>
      </c>
      <c r="G123" t="s">
        <v>10</v>
      </c>
    </row>
    <row r="124" spans="1:7">
      <c r="A124" t="s">
        <v>332</v>
      </c>
      <c r="B124">
        <v>67000</v>
      </c>
      <c r="C124">
        <v>6.77</v>
      </c>
      <c r="D124" t="s">
        <v>183</v>
      </c>
      <c r="E124" t="s">
        <v>334</v>
      </c>
      <c r="F124">
        <v>2025</v>
      </c>
      <c r="G124" t="s">
        <v>10</v>
      </c>
    </row>
    <row r="125" spans="1:7">
      <c r="A125" t="s">
        <v>335</v>
      </c>
      <c r="B125">
        <v>62000</v>
      </c>
      <c r="C125">
        <v>7.16</v>
      </c>
      <c r="D125" t="s">
        <v>1046</v>
      </c>
      <c r="E125" t="s">
        <v>89</v>
      </c>
      <c r="F125">
        <v>2025</v>
      </c>
      <c r="G125" t="s">
        <v>10</v>
      </c>
    </row>
    <row r="126" spans="1:7">
      <c r="A126" t="s">
        <v>337</v>
      </c>
      <c r="B126">
        <v>26000</v>
      </c>
      <c r="C126">
        <v>5.96</v>
      </c>
      <c r="D126" t="s">
        <v>183</v>
      </c>
      <c r="E126" t="s">
        <v>339</v>
      </c>
      <c r="F126">
        <v>2025</v>
      </c>
      <c r="G126" t="s">
        <v>10</v>
      </c>
    </row>
    <row r="127" spans="1:7">
      <c r="A127" t="s">
        <v>340</v>
      </c>
      <c r="B127">
        <v>5800</v>
      </c>
      <c r="C127">
        <v>7.39</v>
      </c>
      <c r="D127" t="s">
        <v>183</v>
      </c>
      <c r="E127" t="s">
        <v>341</v>
      </c>
      <c r="F127">
        <v>2025</v>
      </c>
      <c r="G127" t="s">
        <v>10</v>
      </c>
    </row>
    <row r="128" spans="1:7">
      <c r="A128" t="s">
        <v>342</v>
      </c>
      <c r="B128">
        <v>5500</v>
      </c>
      <c r="C128">
        <v>5.4</v>
      </c>
      <c r="D128" t="s">
        <v>485</v>
      </c>
      <c r="E128" t="s">
        <v>334</v>
      </c>
      <c r="F128">
        <v>2025</v>
      </c>
      <c r="G128" t="s">
        <v>10</v>
      </c>
    </row>
    <row r="129" spans="1:7">
      <c r="A129" t="s">
        <v>344</v>
      </c>
      <c r="B129">
        <v>490000</v>
      </c>
      <c r="C129">
        <v>8.43</v>
      </c>
      <c r="D129" t="s">
        <v>237</v>
      </c>
      <c r="E129" t="s">
        <v>346</v>
      </c>
      <c r="F129">
        <v>2025</v>
      </c>
      <c r="G129" t="s">
        <v>10</v>
      </c>
    </row>
    <row r="130" spans="1:7">
      <c r="A130" t="s">
        <v>347</v>
      </c>
      <c r="B130">
        <v>325000</v>
      </c>
      <c r="C130">
        <v>8.16</v>
      </c>
      <c r="D130" t="s">
        <v>1280</v>
      </c>
      <c r="E130" t="s">
        <v>349</v>
      </c>
      <c r="F130">
        <v>2025</v>
      </c>
      <c r="G130" t="s">
        <v>10</v>
      </c>
    </row>
    <row r="131" spans="1:7">
      <c r="A131" t="s">
        <v>350</v>
      </c>
      <c r="B131">
        <v>286000</v>
      </c>
      <c r="C131">
        <v>8.7200000000000006</v>
      </c>
      <c r="D131" t="s">
        <v>237</v>
      </c>
      <c r="E131" t="s">
        <v>9</v>
      </c>
      <c r="F131">
        <v>2025</v>
      </c>
      <c r="G131" t="s">
        <v>10</v>
      </c>
    </row>
    <row r="132" spans="1:7">
      <c r="A132" t="s">
        <v>352</v>
      </c>
      <c r="B132">
        <v>259000</v>
      </c>
      <c r="C132">
        <v>8.26</v>
      </c>
      <c r="D132" t="s">
        <v>183</v>
      </c>
      <c r="E132" t="s">
        <v>354</v>
      </c>
      <c r="F132">
        <v>2025</v>
      </c>
      <c r="G132" t="s">
        <v>10</v>
      </c>
    </row>
    <row r="133" spans="1:7">
      <c r="A133" t="s">
        <v>355</v>
      </c>
      <c r="B133">
        <v>216000</v>
      </c>
      <c r="C133">
        <v>7.89</v>
      </c>
      <c r="D133" t="s">
        <v>183</v>
      </c>
      <c r="E133" t="s">
        <v>307</v>
      </c>
      <c r="F133">
        <v>2025</v>
      </c>
      <c r="G133" t="s">
        <v>10</v>
      </c>
    </row>
    <row r="134" spans="1:7">
      <c r="A134" t="s">
        <v>356</v>
      </c>
      <c r="B134">
        <v>200000</v>
      </c>
      <c r="C134">
        <v>7.02</v>
      </c>
      <c r="D134" t="s">
        <v>183</v>
      </c>
      <c r="E134" t="s">
        <v>107</v>
      </c>
      <c r="F134">
        <v>2025</v>
      </c>
      <c r="G134" t="s">
        <v>10</v>
      </c>
    </row>
    <row r="135" spans="1:7">
      <c r="A135" t="s">
        <v>358</v>
      </c>
      <c r="B135">
        <v>136000</v>
      </c>
      <c r="C135">
        <v>7.57</v>
      </c>
      <c r="D135" t="s">
        <v>183</v>
      </c>
      <c r="E135" t="s">
        <v>133</v>
      </c>
      <c r="F135">
        <v>2025</v>
      </c>
      <c r="G135" t="s">
        <v>10</v>
      </c>
    </row>
    <row r="136" spans="1:7">
      <c r="A136" t="s">
        <v>360</v>
      </c>
      <c r="B136">
        <v>111000</v>
      </c>
      <c r="C136">
        <v>6.79</v>
      </c>
      <c r="D136" t="s">
        <v>183</v>
      </c>
      <c r="E136" t="s">
        <v>362</v>
      </c>
      <c r="F136">
        <v>2025</v>
      </c>
      <c r="G136" t="s">
        <v>10</v>
      </c>
    </row>
    <row r="137" spans="1:7">
      <c r="A137" t="s">
        <v>363</v>
      </c>
      <c r="B137">
        <v>109000</v>
      </c>
      <c r="C137">
        <v>7.54</v>
      </c>
      <c r="D137" t="s">
        <v>167</v>
      </c>
      <c r="E137" t="s">
        <v>365</v>
      </c>
      <c r="F137">
        <v>2025</v>
      </c>
      <c r="G137" t="s">
        <v>10</v>
      </c>
    </row>
    <row r="138" spans="1:7">
      <c r="A138" t="s">
        <v>366</v>
      </c>
      <c r="B138">
        <v>7900</v>
      </c>
      <c r="C138">
        <v>6.2</v>
      </c>
      <c r="D138" t="s">
        <v>183</v>
      </c>
      <c r="E138" t="s">
        <v>368</v>
      </c>
      <c r="F138">
        <v>2025</v>
      </c>
      <c r="G138" t="s">
        <v>10</v>
      </c>
    </row>
    <row r="139" spans="1:7">
      <c r="A139" t="s">
        <v>369</v>
      </c>
      <c r="B139">
        <v>6700</v>
      </c>
      <c r="C139">
        <v>6.06</v>
      </c>
      <c r="D139" t="s">
        <v>485</v>
      </c>
      <c r="E139" t="s">
        <v>133</v>
      </c>
      <c r="F139">
        <v>2025</v>
      </c>
      <c r="G139" t="s">
        <v>10</v>
      </c>
    </row>
    <row r="140" spans="1:7">
      <c r="A140" t="s">
        <v>371</v>
      </c>
      <c r="B140">
        <v>54000</v>
      </c>
      <c r="C140">
        <v>7.17</v>
      </c>
      <c r="D140" t="s">
        <v>183</v>
      </c>
      <c r="E140" t="s">
        <v>372</v>
      </c>
      <c r="F140">
        <v>2025</v>
      </c>
      <c r="G140" t="s">
        <v>10</v>
      </c>
    </row>
    <row r="141" spans="1:7">
      <c r="A141" t="s">
        <v>373</v>
      </c>
      <c r="B141">
        <v>994</v>
      </c>
      <c r="C141">
        <v>6.6</v>
      </c>
      <c r="D141" t="s">
        <v>1046</v>
      </c>
      <c r="E141" t="s">
        <v>375</v>
      </c>
      <c r="F141">
        <v>2025</v>
      </c>
      <c r="G141" t="s">
        <v>10</v>
      </c>
    </row>
    <row r="142" spans="1:7">
      <c r="A142" t="s">
        <v>376</v>
      </c>
      <c r="B142">
        <v>954</v>
      </c>
      <c r="C142">
        <v>6.59</v>
      </c>
      <c r="D142" t="s">
        <v>57</v>
      </c>
      <c r="E142" t="s">
        <v>378</v>
      </c>
      <c r="F142">
        <v>2025</v>
      </c>
      <c r="G142" t="s">
        <v>10</v>
      </c>
    </row>
    <row r="143" spans="1:7">
      <c r="A143" t="s">
        <v>379</v>
      </c>
      <c r="B143">
        <v>777</v>
      </c>
      <c r="C143">
        <v>5.9</v>
      </c>
      <c r="D143" t="s">
        <v>167</v>
      </c>
      <c r="E143" t="s">
        <v>381</v>
      </c>
      <c r="F143">
        <v>2025</v>
      </c>
      <c r="G143" t="s">
        <v>10</v>
      </c>
    </row>
    <row r="144" spans="1:7">
      <c r="A144" t="s">
        <v>382</v>
      </c>
      <c r="B144">
        <v>659</v>
      </c>
      <c r="C144">
        <v>5.76</v>
      </c>
      <c r="D144" t="s">
        <v>1282</v>
      </c>
      <c r="E144" t="s">
        <v>381</v>
      </c>
      <c r="F144">
        <v>2025</v>
      </c>
      <c r="G144" t="s">
        <v>10</v>
      </c>
    </row>
    <row r="145" spans="1:7">
      <c r="A145" t="s">
        <v>384</v>
      </c>
      <c r="B145">
        <v>620</v>
      </c>
      <c r="C145">
        <v>7.12</v>
      </c>
      <c r="D145" t="s">
        <v>183</v>
      </c>
      <c r="E145" t="s">
        <v>386</v>
      </c>
      <c r="F145">
        <v>2025</v>
      </c>
      <c r="G145" t="s">
        <v>10</v>
      </c>
    </row>
    <row r="146" spans="1:7">
      <c r="A146" t="s">
        <v>387</v>
      </c>
      <c r="B146">
        <v>594</v>
      </c>
      <c r="C146">
        <v>6.54</v>
      </c>
      <c r="D146" t="s">
        <v>183</v>
      </c>
      <c r="E146" t="s">
        <v>389</v>
      </c>
      <c r="F146">
        <v>2025</v>
      </c>
      <c r="G146" t="s">
        <v>10</v>
      </c>
    </row>
    <row r="147" spans="1:7">
      <c r="A147" t="s">
        <v>390</v>
      </c>
      <c r="B147">
        <v>570</v>
      </c>
      <c r="C147">
        <v>6.69</v>
      </c>
      <c r="D147" t="s">
        <v>57</v>
      </c>
      <c r="E147" t="s">
        <v>392</v>
      </c>
      <c r="F147">
        <v>2025</v>
      </c>
      <c r="G147" t="s">
        <v>10</v>
      </c>
    </row>
    <row r="148" spans="1:7">
      <c r="A148" t="s">
        <v>393</v>
      </c>
      <c r="B148">
        <v>523</v>
      </c>
      <c r="C148">
        <v>6.99</v>
      </c>
      <c r="D148" t="s">
        <v>183</v>
      </c>
      <c r="E148" t="s">
        <v>394</v>
      </c>
      <c r="F148">
        <v>2025</v>
      </c>
      <c r="G148" t="s">
        <v>10</v>
      </c>
    </row>
    <row r="149" spans="1:7">
      <c r="A149" t="s">
        <v>395</v>
      </c>
      <c r="B149">
        <v>514</v>
      </c>
      <c r="C149">
        <v>6.81</v>
      </c>
      <c r="D149" t="s">
        <v>183</v>
      </c>
      <c r="E149" t="s">
        <v>397</v>
      </c>
      <c r="F149">
        <v>2025</v>
      </c>
      <c r="G149" t="s">
        <v>10</v>
      </c>
    </row>
    <row r="150" spans="1:7">
      <c r="A150" t="s">
        <v>398</v>
      </c>
      <c r="B150">
        <v>513</v>
      </c>
      <c r="C150">
        <v>5.81</v>
      </c>
      <c r="D150" t="s">
        <v>1281</v>
      </c>
      <c r="E150" t="s">
        <v>381</v>
      </c>
      <c r="F150">
        <v>2025</v>
      </c>
      <c r="G150" t="s">
        <v>10</v>
      </c>
    </row>
    <row r="151" spans="1:7">
      <c r="A151" t="s">
        <v>400</v>
      </c>
      <c r="B151">
        <v>500</v>
      </c>
      <c r="C151">
        <v>6.34</v>
      </c>
      <c r="D151" t="s">
        <v>183</v>
      </c>
      <c r="E151" t="s">
        <v>401</v>
      </c>
      <c r="F151">
        <v>2025</v>
      </c>
      <c r="G151" t="s">
        <v>10</v>
      </c>
    </row>
    <row r="152" spans="1:7">
      <c r="A152" t="s">
        <v>402</v>
      </c>
      <c r="B152">
        <v>486</v>
      </c>
      <c r="C152">
        <v>6.45</v>
      </c>
      <c r="D152" t="s">
        <v>183</v>
      </c>
      <c r="E152" t="s">
        <v>404</v>
      </c>
      <c r="F152">
        <v>2025</v>
      </c>
      <c r="G152" t="s">
        <v>10</v>
      </c>
    </row>
    <row r="153" spans="1:7">
      <c r="A153" t="s">
        <v>405</v>
      </c>
      <c r="B153">
        <v>438</v>
      </c>
      <c r="C153">
        <v>5.86</v>
      </c>
      <c r="D153" t="s">
        <v>167</v>
      </c>
      <c r="E153" t="s">
        <v>381</v>
      </c>
      <c r="F153">
        <v>2025</v>
      </c>
      <c r="G153" t="s">
        <v>10</v>
      </c>
    </row>
    <row r="154" spans="1:7">
      <c r="A154" t="s">
        <v>407</v>
      </c>
      <c r="B154">
        <v>423</v>
      </c>
      <c r="C154">
        <v>6.57</v>
      </c>
      <c r="D154" t="s">
        <v>231</v>
      </c>
      <c r="E154" t="s">
        <v>408</v>
      </c>
      <c r="F154">
        <v>2025</v>
      </c>
      <c r="G154" t="s">
        <v>10</v>
      </c>
    </row>
    <row r="155" spans="1:7">
      <c r="A155" t="s">
        <v>409</v>
      </c>
      <c r="B155">
        <v>9500</v>
      </c>
      <c r="C155">
        <v>7.61</v>
      </c>
      <c r="D155" t="s">
        <v>485</v>
      </c>
      <c r="E155" t="s">
        <v>411</v>
      </c>
      <c r="F155">
        <v>2025</v>
      </c>
      <c r="G155" t="s">
        <v>10</v>
      </c>
    </row>
    <row r="156" spans="1:7">
      <c r="A156" t="s">
        <v>412</v>
      </c>
      <c r="B156">
        <v>8300</v>
      </c>
      <c r="C156">
        <v>6.47</v>
      </c>
      <c r="D156" t="s">
        <v>485</v>
      </c>
      <c r="E156" t="s">
        <v>413</v>
      </c>
      <c r="F156">
        <v>2025</v>
      </c>
      <c r="G156" t="s">
        <v>10</v>
      </c>
    </row>
    <row r="157" spans="1:7">
      <c r="A157" t="s">
        <v>414</v>
      </c>
      <c r="B157">
        <v>3000</v>
      </c>
      <c r="C157">
        <v>6.21</v>
      </c>
      <c r="D157" t="s">
        <v>183</v>
      </c>
      <c r="E157" t="s">
        <v>339</v>
      </c>
      <c r="F157">
        <v>2025</v>
      </c>
      <c r="G157" t="s">
        <v>10</v>
      </c>
    </row>
    <row r="158" spans="1:7">
      <c r="A158" t="s">
        <v>415</v>
      </c>
      <c r="B158">
        <v>938</v>
      </c>
      <c r="C158">
        <v>6.11</v>
      </c>
      <c r="D158" t="s">
        <v>167</v>
      </c>
      <c r="E158" t="s">
        <v>416</v>
      </c>
      <c r="F158">
        <v>2025</v>
      </c>
      <c r="G158" t="s">
        <v>10</v>
      </c>
    </row>
    <row r="159" spans="1:7">
      <c r="A159" t="s">
        <v>417</v>
      </c>
      <c r="B159">
        <v>534000</v>
      </c>
      <c r="C159">
        <v>8.41</v>
      </c>
      <c r="D159" t="s">
        <v>183</v>
      </c>
      <c r="E159" t="s">
        <v>419</v>
      </c>
      <c r="F159">
        <v>2025</v>
      </c>
      <c r="G159" t="s">
        <v>420</v>
      </c>
    </row>
    <row r="160" spans="1:7">
      <c r="A160" t="s">
        <v>421</v>
      </c>
      <c r="B160">
        <v>472000</v>
      </c>
      <c r="C160">
        <v>8.2200000000000006</v>
      </c>
      <c r="D160" t="s">
        <v>183</v>
      </c>
      <c r="E160" t="s">
        <v>38</v>
      </c>
      <c r="F160">
        <v>2025</v>
      </c>
      <c r="G160" t="s">
        <v>420</v>
      </c>
    </row>
    <row r="161" spans="1:7">
      <c r="A161" t="s">
        <v>423</v>
      </c>
      <c r="B161">
        <v>454000</v>
      </c>
      <c r="C161">
        <v>8.18</v>
      </c>
      <c r="D161" t="s">
        <v>1280</v>
      </c>
      <c r="E161" t="s">
        <v>300</v>
      </c>
      <c r="F161">
        <v>2025</v>
      </c>
      <c r="G161" t="s">
        <v>420</v>
      </c>
    </row>
    <row r="162" spans="1:7">
      <c r="A162" t="s">
        <v>425</v>
      </c>
      <c r="B162">
        <v>436000</v>
      </c>
      <c r="C162">
        <v>8.5299999999999994</v>
      </c>
      <c r="D162" t="s">
        <v>237</v>
      </c>
      <c r="E162" t="s">
        <v>300</v>
      </c>
      <c r="F162">
        <v>2025</v>
      </c>
      <c r="G162" t="s">
        <v>420</v>
      </c>
    </row>
    <row r="163" spans="1:7">
      <c r="A163" t="s">
        <v>427</v>
      </c>
      <c r="B163">
        <v>356000</v>
      </c>
      <c r="C163">
        <v>7.79</v>
      </c>
      <c r="D163" t="s">
        <v>183</v>
      </c>
      <c r="E163" t="s">
        <v>429</v>
      </c>
      <c r="F163">
        <v>2025</v>
      </c>
      <c r="G163" t="s">
        <v>420</v>
      </c>
    </row>
    <row r="164" spans="1:7">
      <c r="A164" t="s">
        <v>430</v>
      </c>
      <c r="B164">
        <v>287000</v>
      </c>
      <c r="C164">
        <v>8.02</v>
      </c>
      <c r="D164" t="s">
        <v>1284</v>
      </c>
      <c r="E164" t="s">
        <v>432</v>
      </c>
      <c r="F164">
        <v>2025</v>
      </c>
      <c r="G164" t="s">
        <v>420</v>
      </c>
    </row>
    <row r="165" spans="1:7">
      <c r="A165" t="s">
        <v>433</v>
      </c>
      <c r="B165">
        <v>246000</v>
      </c>
      <c r="C165">
        <v>7.91</v>
      </c>
      <c r="D165" t="s">
        <v>183</v>
      </c>
      <c r="E165" t="s">
        <v>150</v>
      </c>
      <c r="F165">
        <v>2025</v>
      </c>
      <c r="G165" t="s">
        <v>420</v>
      </c>
    </row>
    <row r="166" spans="1:7">
      <c r="A166" t="s">
        <v>434</v>
      </c>
      <c r="B166">
        <v>237000</v>
      </c>
      <c r="C166">
        <v>8.34</v>
      </c>
      <c r="D166" t="s">
        <v>1280</v>
      </c>
      <c r="E166" t="s">
        <v>159</v>
      </c>
      <c r="F166">
        <v>2025</v>
      </c>
      <c r="G166" t="s">
        <v>420</v>
      </c>
    </row>
    <row r="167" spans="1:7">
      <c r="A167" t="s">
        <v>436</v>
      </c>
      <c r="B167">
        <v>209000</v>
      </c>
      <c r="C167">
        <v>8.11</v>
      </c>
      <c r="D167" t="s">
        <v>57</v>
      </c>
      <c r="E167" t="s">
        <v>438</v>
      </c>
      <c r="F167">
        <v>2025</v>
      </c>
      <c r="G167" t="s">
        <v>420</v>
      </c>
    </row>
    <row r="168" spans="1:7">
      <c r="A168" t="s">
        <v>439</v>
      </c>
      <c r="B168">
        <v>208000</v>
      </c>
      <c r="C168">
        <v>8.17</v>
      </c>
      <c r="D168" t="s">
        <v>237</v>
      </c>
      <c r="E168" t="s">
        <v>300</v>
      </c>
      <c r="F168">
        <v>2025</v>
      </c>
      <c r="G168" t="s">
        <v>420</v>
      </c>
    </row>
    <row r="169" spans="1:7">
      <c r="A169" t="s">
        <v>441</v>
      </c>
      <c r="B169">
        <v>194000</v>
      </c>
      <c r="C169">
        <v>8.5</v>
      </c>
      <c r="D169" t="s">
        <v>167</v>
      </c>
      <c r="E169" t="s">
        <v>443</v>
      </c>
      <c r="F169">
        <v>2025</v>
      </c>
      <c r="G169" t="s">
        <v>420</v>
      </c>
    </row>
    <row r="170" spans="1:7">
      <c r="A170" t="s">
        <v>444</v>
      </c>
      <c r="B170">
        <v>191000</v>
      </c>
      <c r="C170">
        <v>7.06</v>
      </c>
      <c r="D170" t="s">
        <v>1046</v>
      </c>
      <c r="E170" t="s">
        <v>446</v>
      </c>
      <c r="F170">
        <v>2025</v>
      </c>
      <c r="G170" t="s">
        <v>420</v>
      </c>
    </row>
    <row r="171" spans="1:7">
      <c r="A171" t="s">
        <v>447</v>
      </c>
      <c r="B171">
        <v>188000</v>
      </c>
      <c r="C171">
        <v>7.81</v>
      </c>
      <c r="D171" t="s">
        <v>183</v>
      </c>
      <c r="E171" t="s">
        <v>449</v>
      </c>
      <c r="F171">
        <v>2025</v>
      </c>
      <c r="G171" t="s">
        <v>420</v>
      </c>
    </row>
    <row r="172" spans="1:7">
      <c r="A172" t="s">
        <v>450</v>
      </c>
      <c r="B172">
        <v>175000</v>
      </c>
      <c r="C172">
        <v>6.9</v>
      </c>
      <c r="D172" t="s">
        <v>183</v>
      </c>
      <c r="E172" t="s">
        <v>297</v>
      </c>
      <c r="F172">
        <v>2025</v>
      </c>
      <c r="G172" t="s">
        <v>420</v>
      </c>
    </row>
    <row r="173" spans="1:7">
      <c r="A173" t="s">
        <v>452</v>
      </c>
      <c r="B173">
        <v>137000</v>
      </c>
      <c r="C173">
        <v>7.61</v>
      </c>
      <c r="D173" t="s">
        <v>1046</v>
      </c>
      <c r="E173" t="s">
        <v>454</v>
      </c>
      <c r="F173">
        <v>2025</v>
      </c>
      <c r="G173" t="s">
        <v>420</v>
      </c>
    </row>
    <row r="174" spans="1:7">
      <c r="A174" t="s">
        <v>455</v>
      </c>
      <c r="B174">
        <v>121000</v>
      </c>
      <c r="C174">
        <v>6.62</v>
      </c>
      <c r="D174" t="s">
        <v>1046</v>
      </c>
      <c r="E174" t="s">
        <v>121</v>
      </c>
      <c r="F174">
        <v>2025</v>
      </c>
      <c r="G174" t="s">
        <v>420</v>
      </c>
    </row>
    <row r="175" spans="1:7">
      <c r="A175" t="s">
        <v>457</v>
      </c>
      <c r="B175">
        <v>106000</v>
      </c>
      <c r="C175">
        <v>7.63</v>
      </c>
      <c r="D175" t="s">
        <v>167</v>
      </c>
      <c r="E175" t="s">
        <v>250</v>
      </c>
      <c r="F175">
        <v>2025</v>
      </c>
      <c r="G175" t="s">
        <v>420</v>
      </c>
    </row>
    <row r="176" spans="1:7">
      <c r="A176" t="s">
        <v>459</v>
      </c>
      <c r="B176">
        <v>91000</v>
      </c>
      <c r="C176">
        <v>6.17</v>
      </c>
      <c r="D176" t="s">
        <v>167</v>
      </c>
      <c r="E176" t="s">
        <v>150</v>
      </c>
      <c r="F176">
        <v>2025</v>
      </c>
      <c r="G176" t="s">
        <v>420</v>
      </c>
    </row>
    <row r="177" spans="1:7">
      <c r="A177" t="s">
        <v>461</v>
      </c>
      <c r="B177">
        <v>86000</v>
      </c>
      <c r="C177">
        <v>6.12</v>
      </c>
      <c r="D177" t="s">
        <v>1046</v>
      </c>
      <c r="E177" t="s">
        <v>101</v>
      </c>
      <c r="F177">
        <v>2025</v>
      </c>
      <c r="G177" t="s">
        <v>420</v>
      </c>
    </row>
    <row r="178" spans="1:7">
      <c r="A178" t="s">
        <v>462</v>
      </c>
      <c r="B178">
        <v>83000</v>
      </c>
      <c r="C178">
        <v>6.57</v>
      </c>
      <c r="D178" t="s">
        <v>1046</v>
      </c>
      <c r="E178" t="s">
        <v>464</v>
      </c>
      <c r="F178">
        <v>2025</v>
      </c>
      <c r="G178" t="s">
        <v>420</v>
      </c>
    </row>
    <row r="179" spans="1:7">
      <c r="A179" t="s">
        <v>465</v>
      </c>
      <c r="B179">
        <v>69000</v>
      </c>
      <c r="C179">
        <v>6.71</v>
      </c>
      <c r="D179" t="s">
        <v>167</v>
      </c>
      <c r="E179" t="s">
        <v>467</v>
      </c>
      <c r="F179">
        <v>2025</v>
      </c>
      <c r="G179" t="s">
        <v>420</v>
      </c>
    </row>
    <row r="180" spans="1:7">
      <c r="A180" t="s">
        <v>468</v>
      </c>
      <c r="B180">
        <v>64000</v>
      </c>
      <c r="C180">
        <v>7.37</v>
      </c>
      <c r="D180" t="s">
        <v>237</v>
      </c>
      <c r="E180" t="s">
        <v>470</v>
      </c>
      <c r="F180">
        <v>2025</v>
      </c>
      <c r="G180" t="s">
        <v>420</v>
      </c>
    </row>
    <row r="181" spans="1:7">
      <c r="A181" t="s">
        <v>471</v>
      </c>
      <c r="B181">
        <v>3500</v>
      </c>
      <c r="C181">
        <v>5.67</v>
      </c>
      <c r="D181" t="s">
        <v>1283</v>
      </c>
      <c r="E181" t="s">
        <v>139</v>
      </c>
      <c r="F181">
        <v>2025</v>
      </c>
      <c r="G181" t="s">
        <v>420</v>
      </c>
    </row>
    <row r="182" spans="1:7">
      <c r="A182" t="s">
        <v>472</v>
      </c>
      <c r="B182">
        <v>205000</v>
      </c>
      <c r="C182">
        <v>7.37</v>
      </c>
      <c r="D182" t="s">
        <v>167</v>
      </c>
      <c r="E182" t="s">
        <v>289</v>
      </c>
      <c r="F182">
        <v>2025</v>
      </c>
      <c r="G182" t="s">
        <v>420</v>
      </c>
    </row>
    <row r="183" spans="1:7">
      <c r="A183" t="s">
        <v>474</v>
      </c>
      <c r="B183">
        <v>43000</v>
      </c>
      <c r="C183">
        <v>7.2</v>
      </c>
      <c r="D183" t="s">
        <v>183</v>
      </c>
      <c r="E183" t="s">
        <v>191</v>
      </c>
      <c r="F183">
        <v>2025</v>
      </c>
      <c r="G183" t="s">
        <v>420</v>
      </c>
    </row>
    <row r="184" spans="1:7">
      <c r="A184" t="s">
        <v>476</v>
      </c>
      <c r="B184">
        <v>304000</v>
      </c>
      <c r="C184">
        <v>8.76</v>
      </c>
      <c r="D184" t="s">
        <v>237</v>
      </c>
      <c r="E184" t="s">
        <v>478</v>
      </c>
      <c r="F184">
        <v>2025</v>
      </c>
      <c r="G184" t="s">
        <v>420</v>
      </c>
    </row>
    <row r="185" spans="1:7">
      <c r="A185" t="s">
        <v>479</v>
      </c>
      <c r="B185">
        <v>242000</v>
      </c>
      <c r="C185">
        <v>8.68</v>
      </c>
      <c r="D185" t="s">
        <v>183</v>
      </c>
      <c r="E185" t="s">
        <v>480</v>
      </c>
      <c r="F185">
        <v>2025</v>
      </c>
      <c r="G185" t="s">
        <v>420</v>
      </c>
    </row>
    <row r="186" spans="1:7">
      <c r="A186" t="s">
        <v>481</v>
      </c>
      <c r="B186">
        <v>199000</v>
      </c>
      <c r="C186">
        <v>8.61</v>
      </c>
      <c r="D186" t="s">
        <v>183</v>
      </c>
      <c r="E186" t="s">
        <v>483</v>
      </c>
      <c r="F186">
        <v>2025</v>
      </c>
      <c r="G186" t="s">
        <v>420</v>
      </c>
    </row>
    <row r="187" spans="1:7">
      <c r="A187" t="s">
        <v>484</v>
      </c>
      <c r="B187">
        <v>695</v>
      </c>
      <c r="C187">
        <v>6.04</v>
      </c>
      <c r="D187" t="s">
        <v>485</v>
      </c>
      <c r="E187" t="s">
        <v>486</v>
      </c>
      <c r="F187">
        <v>2025</v>
      </c>
      <c r="G187" t="s">
        <v>420</v>
      </c>
    </row>
    <row r="188" spans="1:7">
      <c r="A188" t="s">
        <v>487</v>
      </c>
      <c r="B188">
        <v>662</v>
      </c>
      <c r="C188">
        <v>5.84</v>
      </c>
      <c r="D188" t="s">
        <v>167</v>
      </c>
      <c r="E188" t="s">
        <v>381</v>
      </c>
      <c r="F188">
        <v>2025</v>
      </c>
      <c r="G188" t="s">
        <v>420</v>
      </c>
    </row>
    <row r="189" spans="1:7">
      <c r="A189" t="s">
        <v>488</v>
      </c>
      <c r="B189">
        <v>656</v>
      </c>
      <c r="C189">
        <v>6.95</v>
      </c>
      <c r="D189" t="s">
        <v>183</v>
      </c>
      <c r="E189" t="s">
        <v>212</v>
      </c>
      <c r="F189">
        <v>2025</v>
      </c>
      <c r="G189" t="s">
        <v>420</v>
      </c>
    </row>
    <row r="190" spans="1:7">
      <c r="A190" t="s">
        <v>489</v>
      </c>
      <c r="B190">
        <v>605</v>
      </c>
      <c r="C190">
        <v>5.98</v>
      </c>
      <c r="D190" t="s">
        <v>167</v>
      </c>
      <c r="E190" t="s">
        <v>381</v>
      </c>
      <c r="F190">
        <v>2025</v>
      </c>
      <c r="G190" t="s">
        <v>420</v>
      </c>
    </row>
    <row r="191" spans="1:7">
      <c r="A191" t="s">
        <v>490</v>
      </c>
      <c r="B191">
        <v>588</v>
      </c>
      <c r="C191">
        <v>6.35</v>
      </c>
      <c r="D191" t="s">
        <v>231</v>
      </c>
      <c r="E191" t="s">
        <v>300</v>
      </c>
      <c r="F191">
        <v>2025</v>
      </c>
      <c r="G191" t="s">
        <v>420</v>
      </c>
    </row>
    <row r="192" spans="1:7">
      <c r="A192" t="s">
        <v>492</v>
      </c>
      <c r="B192">
        <v>556</v>
      </c>
      <c r="C192">
        <v>6.45</v>
      </c>
      <c r="D192" t="s">
        <v>183</v>
      </c>
      <c r="E192" t="s">
        <v>212</v>
      </c>
      <c r="F192">
        <v>2025</v>
      </c>
      <c r="G192" t="s">
        <v>420</v>
      </c>
    </row>
    <row r="193" spans="1:7">
      <c r="A193" t="s">
        <v>493</v>
      </c>
      <c r="B193">
        <v>517</v>
      </c>
      <c r="C193">
        <v>5.77</v>
      </c>
      <c r="D193" t="s">
        <v>167</v>
      </c>
      <c r="E193" t="s">
        <v>381</v>
      </c>
      <c r="F193">
        <v>2025</v>
      </c>
      <c r="G193" t="s">
        <v>420</v>
      </c>
    </row>
    <row r="194" spans="1:7">
      <c r="A194" t="s">
        <v>494</v>
      </c>
      <c r="B194">
        <v>444000</v>
      </c>
      <c r="C194">
        <v>9.09</v>
      </c>
      <c r="D194" t="s">
        <v>183</v>
      </c>
      <c r="E194" t="s">
        <v>13</v>
      </c>
      <c r="F194">
        <v>2025</v>
      </c>
      <c r="G194" t="s">
        <v>420</v>
      </c>
    </row>
    <row r="195" spans="1:7">
      <c r="A195" t="s">
        <v>496</v>
      </c>
      <c r="B195">
        <v>360000</v>
      </c>
      <c r="C195">
        <v>8.67</v>
      </c>
      <c r="D195" t="s">
        <v>183</v>
      </c>
      <c r="E195" t="s">
        <v>498</v>
      </c>
      <c r="F195">
        <v>2025</v>
      </c>
      <c r="G195" t="s">
        <v>420</v>
      </c>
    </row>
    <row r="196" spans="1:7">
      <c r="A196" t="s">
        <v>499</v>
      </c>
      <c r="B196">
        <v>66000</v>
      </c>
      <c r="C196">
        <v>8.35</v>
      </c>
      <c r="D196" t="s">
        <v>237</v>
      </c>
      <c r="E196" t="s">
        <v>501</v>
      </c>
      <c r="F196">
        <v>2025</v>
      </c>
      <c r="G196" t="s">
        <v>420</v>
      </c>
    </row>
    <row r="197" spans="1:7">
      <c r="A197" t="s">
        <v>502</v>
      </c>
      <c r="B197">
        <v>2800</v>
      </c>
      <c r="C197">
        <v>6.82</v>
      </c>
      <c r="D197" t="s">
        <v>167</v>
      </c>
      <c r="E197" t="s">
        <v>498</v>
      </c>
      <c r="F197">
        <v>2025</v>
      </c>
      <c r="G197" t="s">
        <v>420</v>
      </c>
    </row>
    <row r="198" spans="1:7">
      <c r="A198" t="s">
        <v>504</v>
      </c>
      <c r="B198">
        <v>953</v>
      </c>
      <c r="C198">
        <v>7.63</v>
      </c>
      <c r="D198" t="s">
        <v>57</v>
      </c>
      <c r="E198" t="s">
        <v>505</v>
      </c>
      <c r="F198">
        <v>2025</v>
      </c>
      <c r="G198" t="s">
        <v>420</v>
      </c>
    </row>
    <row r="199" spans="1:7">
      <c r="A199" t="s">
        <v>506</v>
      </c>
      <c r="B199">
        <v>9600</v>
      </c>
      <c r="C199">
        <v>6.39</v>
      </c>
      <c r="D199" t="s">
        <v>57</v>
      </c>
      <c r="E199" t="s">
        <v>438</v>
      </c>
      <c r="F199">
        <v>2025</v>
      </c>
      <c r="G199" t="s">
        <v>420</v>
      </c>
    </row>
    <row r="200" spans="1:7">
      <c r="A200" t="s">
        <v>507</v>
      </c>
      <c r="B200">
        <v>601</v>
      </c>
      <c r="C200">
        <v>5.81</v>
      </c>
      <c r="D200" t="s">
        <v>1281</v>
      </c>
      <c r="E200" t="s">
        <v>509</v>
      </c>
      <c r="F200">
        <v>2025</v>
      </c>
      <c r="G200" t="s">
        <v>420</v>
      </c>
    </row>
    <row r="201" spans="1:7">
      <c r="A201" t="s">
        <v>510</v>
      </c>
      <c r="B201">
        <v>308000</v>
      </c>
      <c r="C201">
        <v>7.71</v>
      </c>
      <c r="D201" t="s">
        <v>183</v>
      </c>
      <c r="E201" t="s">
        <v>24</v>
      </c>
      <c r="F201">
        <v>2025</v>
      </c>
      <c r="G201" t="s">
        <v>257</v>
      </c>
    </row>
    <row r="202" spans="1:7">
      <c r="A202" t="s">
        <v>512</v>
      </c>
      <c r="B202">
        <v>224000</v>
      </c>
      <c r="C202">
        <v>7.63</v>
      </c>
      <c r="D202" t="s">
        <v>183</v>
      </c>
      <c r="E202" t="s">
        <v>300</v>
      </c>
      <c r="F202">
        <v>2025</v>
      </c>
      <c r="G202" t="s">
        <v>257</v>
      </c>
    </row>
    <row r="203" spans="1:7">
      <c r="A203" t="s">
        <v>514</v>
      </c>
      <c r="B203">
        <v>181000</v>
      </c>
      <c r="C203">
        <v>6.96</v>
      </c>
      <c r="D203" t="s">
        <v>183</v>
      </c>
      <c r="E203" t="s">
        <v>32</v>
      </c>
      <c r="F203">
        <v>2025</v>
      </c>
      <c r="G203" t="s">
        <v>257</v>
      </c>
    </row>
    <row r="204" spans="1:7">
      <c r="A204" t="s">
        <v>515</v>
      </c>
      <c r="B204">
        <v>179000</v>
      </c>
      <c r="C204">
        <v>6.18</v>
      </c>
      <c r="D204" t="s">
        <v>57</v>
      </c>
      <c r="E204" t="s">
        <v>516</v>
      </c>
      <c r="F204">
        <v>2025</v>
      </c>
      <c r="G204" t="s">
        <v>257</v>
      </c>
    </row>
    <row r="205" spans="1:7">
      <c r="A205" t="s">
        <v>517</v>
      </c>
      <c r="B205">
        <v>160000</v>
      </c>
      <c r="C205">
        <v>6.83</v>
      </c>
      <c r="D205" t="s">
        <v>57</v>
      </c>
      <c r="E205" t="s">
        <v>518</v>
      </c>
      <c r="F205">
        <v>2025</v>
      </c>
      <c r="G205" t="s">
        <v>257</v>
      </c>
    </row>
    <row r="206" spans="1:7">
      <c r="A206" t="s">
        <v>519</v>
      </c>
      <c r="B206">
        <v>127000</v>
      </c>
      <c r="C206">
        <v>6.18</v>
      </c>
      <c r="D206" t="s">
        <v>167</v>
      </c>
      <c r="E206" t="s">
        <v>159</v>
      </c>
      <c r="F206">
        <v>2025</v>
      </c>
      <c r="G206" t="s">
        <v>257</v>
      </c>
    </row>
    <row r="207" spans="1:7">
      <c r="A207" t="s">
        <v>521</v>
      </c>
      <c r="B207">
        <v>126000</v>
      </c>
      <c r="C207">
        <v>6.7</v>
      </c>
      <c r="D207" t="s">
        <v>167</v>
      </c>
      <c r="E207" t="s">
        <v>523</v>
      </c>
      <c r="F207">
        <v>2025</v>
      </c>
      <c r="G207" t="s">
        <v>257</v>
      </c>
    </row>
    <row r="208" spans="1:7">
      <c r="A208" t="s">
        <v>524</v>
      </c>
      <c r="B208">
        <v>118000</v>
      </c>
      <c r="C208">
        <v>7.05</v>
      </c>
      <c r="D208" t="s">
        <v>167</v>
      </c>
      <c r="E208" t="s">
        <v>21</v>
      </c>
      <c r="F208">
        <v>2025</v>
      </c>
      <c r="G208" t="s">
        <v>257</v>
      </c>
    </row>
    <row r="209" spans="1:7">
      <c r="A209" t="s">
        <v>525</v>
      </c>
      <c r="B209">
        <v>97000</v>
      </c>
      <c r="C209">
        <v>8.58</v>
      </c>
      <c r="D209" t="s">
        <v>237</v>
      </c>
      <c r="E209" t="s">
        <v>432</v>
      </c>
      <c r="F209">
        <v>2025</v>
      </c>
      <c r="G209" t="s">
        <v>257</v>
      </c>
    </row>
    <row r="210" spans="1:7">
      <c r="A210" t="s">
        <v>527</v>
      </c>
      <c r="B210">
        <v>90000</v>
      </c>
      <c r="C210">
        <v>7.25</v>
      </c>
      <c r="D210" t="s">
        <v>57</v>
      </c>
      <c r="E210" t="s">
        <v>276</v>
      </c>
      <c r="F210">
        <v>2025</v>
      </c>
      <c r="G210" t="s">
        <v>257</v>
      </c>
    </row>
    <row r="211" spans="1:7">
      <c r="A211" t="s">
        <v>529</v>
      </c>
      <c r="B211">
        <v>88000</v>
      </c>
      <c r="C211">
        <v>7.48</v>
      </c>
      <c r="D211" t="s">
        <v>167</v>
      </c>
      <c r="E211" t="s">
        <v>101</v>
      </c>
      <c r="F211">
        <v>2025</v>
      </c>
      <c r="G211" t="s">
        <v>257</v>
      </c>
    </row>
    <row r="212" spans="1:7">
      <c r="A212" t="s">
        <v>530</v>
      </c>
      <c r="B212">
        <v>75000</v>
      </c>
      <c r="C212">
        <v>8.0299999999999994</v>
      </c>
      <c r="D212" t="s">
        <v>167</v>
      </c>
      <c r="E212" t="s">
        <v>432</v>
      </c>
      <c r="F212">
        <v>2025</v>
      </c>
      <c r="G212" t="s">
        <v>257</v>
      </c>
    </row>
    <row r="213" spans="1:7">
      <c r="A213" t="s">
        <v>532</v>
      </c>
      <c r="B213">
        <v>59000</v>
      </c>
      <c r="C213">
        <v>7.6</v>
      </c>
      <c r="D213" t="s">
        <v>167</v>
      </c>
      <c r="E213" t="s">
        <v>533</v>
      </c>
      <c r="F213">
        <v>2025</v>
      </c>
      <c r="G213" t="s">
        <v>257</v>
      </c>
    </row>
    <row r="214" spans="1:7">
      <c r="A214" t="s">
        <v>534</v>
      </c>
      <c r="B214">
        <v>6600</v>
      </c>
      <c r="C214">
        <v>5.67</v>
      </c>
      <c r="D214" t="s">
        <v>1285</v>
      </c>
      <c r="E214" t="s">
        <v>58</v>
      </c>
      <c r="F214">
        <v>2025</v>
      </c>
      <c r="G214" t="s">
        <v>257</v>
      </c>
    </row>
    <row r="215" spans="1:7">
      <c r="A215" t="s">
        <v>536</v>
      </c>
      <c r="B215">
        <v>955</v>
      </c>
      <c r="C215">
        <v>5.77</v>
      </c>
      <c r="D215" t="s">
        <v>167</v>
      </c>
      <c r="E215" t="s">
        <v>381</v>
      </c>
      <c r="F215">
        <v>2025</v>
      </c>
      <c r="G215" t="s">
        <v>257</v>
      </c>
    </row>
    <row r="216" spans="1:7">
      <c r="A216" t="s">
        <v>537</v>
      </c>
      <c r="B216">
        <v>888</v>
      </c>
      <c r="C216">
        <v>7.44</v>
      </c>
      <c r="D216" t="s">
        <v>183</v>
      </c>
      <c r="E216" t="s">
        <v>397</v>
      </c>
      <c r="F216">
        <v>2025</v>
      </c>
      <c r="G216" t="s">
        <v>257</v>
      </c>
    </row>
    <row r="217" spans="1:7">
      <c r="A217" t="s">
        <v>538</v>
      </c>
      <c r="B217">
        <v>835</v>
      </c>
      <c r="C217">
        <v>7.11</v>
      </c>
      <c r="D217" t="s">
        <v>183</v>
      </c>
      <c r="E217" t="s">
        <v>212</v>
      </c>
      <c r="F217">
        <v>2025</v>
      </c>
      <c r="G217" t="s">
        <v>257</v>
      </c>
    </row>
    <row r="218" spans="1:7">
      <c r="A218" t="s">
        <v>539</v>
      </c>
      <c r="B218">
        <v>799</v>
      </c>
      <c r="C218">
        <v>6.6</v>
      </c>
      <c r="D218" t="s">
        <v>167</v>
      </c>
      <c r="E218" t="s">
        <v>541</v>
      </c>
      <c r="F218">
        <v>2025</v>
      </c>
      <c r="G218" t="s">
        <v>257</v>
      </c>
    </row>
    <row r="219" spans="1:7">
      <c r="A219" t="s">
        <v>542</v>
      </c>
      <c r="B219">
        <v>734</v>
      </c>
      <c r="C219">
        <v>6.75</v>
      </c>
      <c r="D219" t="s">
        <v>183</v>
      </c>
      <c r="E219" t="s">
        <v>544</v>
      </c>
      <c r="F219">
        <v>2025</v>
      </c>
      <c r="G219" t="s">
        <v>257</v>
      </c>
    </row>
    <row r="220" spans="1:7">
      <c r="A220" t="s">
        <v>545</v>
      </c>
      <c r="B220">
        <v>628</v>
      </c>
      <c r="C220">
        <v>5.89</v>
      </c>
      <c r="D220" t="s">
        <v>231</v>
      </c>
      <c r="E220" t="s">
        <v>546</v>
      </c>
      <c r="F220">
        <v>2025</v>
      </c>
      <c r="G220" t="s">
        <v>257</v>
      </c>
    </row>
    <row r="221" spans="1:7">
      <c r="A221" t="s">
        <v>547</v>
      </c>
      <c r="B221">
        <v>621</v>
      </c>
      <c r="C221">
        <v>6.57</v>
      </c>
      <c r="D221" t="s">
        <v>183</v>
      </c>
      <c r="E221" t="s">
        <v>229</v>
      </c>
      <c r="F221">
        <v>2025</v>
      </c>
      <c r="G221" t="s">
        <v>257</v>
      </c>
    </row>
    <row r="222" spans="1:7">
      <c r="A222" t="s">
        <v>549</v>
      </c>
      <c r="B222">
        <v>551</v>
      </c>
      <c r="C222">
        <v>6.95</v>
      </c>
      <c r="D222" t="s">
        <v>183</v>
      </c>
      <c r="E222" t="s">
        <v>550</v>
      </c>
      <c r="F222">
        <v>2025</v>
      </c>
      <c r="G222" t="s">
        <v>257</v>
      </c>
    </row>
    <row r="223" spans="1:7">
      <c r="A223" t="s">
        <v>551</v>
      </c>
      <c r="B223">
        <v>524</v>
      </c>
      <c r="C223">
        <v>6.59</v>
      </c>
      <c r="D223" t="s">
        <v>183</v>
      </c>
      <c r="E223" t="s">
        <v>212</v>
      </c>
      <c r="F223">
        <v>2025</v>
      </c>
      <c r="G223" t="s">
        <v>257</v>
      </c>
    </row>
    <row r="224" spans="1:7">
      <c r="A224" t="s">
        <v>552</v>
      </c>
      <c r="B224">
        <v>7000</v>
      </c>
      <c r="C224">
        <v>7.41</v>
      </c>
      <c r="D224" t="s">
        <v>183</v>
      </c>
      <c r="E224" t="s">
        <v>253</v>
      </c>
      <c r="F224">
        <v>2025</v>
      </c>
      <c r="G224" t="s">
        <v>257</v>
      </c>
    </row>
    <row r="225" spans="1:7">
      <c r="A225" t="s">
        <v>554</v>
      </c>
      <c r="B225">
        <v>5400</v>
      </c>
      <c r="C225">
        <v>6.8</v>
      </c>
      <c r="D225" t="s">
        <v>183</v>
      </c>
      <c r="E225" t="s">
        <v>349</v>
      </c>
      <c r="F225">
        <v>2025</v>
      </c>
      <c r="G225" t="s">
        <v>257</v>
      </c>
    </row>
    <row r="226" spans="1:7">
      <c r="A226" t="s">
        <v>556</v>
      </c>
      <c r="B226">
        <v>972</v>
      </c>
      <c r="C226">
        <v>6.6</v>
      </c>
      <c r="D226" t="s">
        <v>167</v>
      </c>
      <c r="E226" t="s">
        <v>558</v>
      </c>
      <c r="F226">
        <v>2025</v>
      </c>
      <c r="G226" t="s">
        <v>257</v>
      </c>
    </row>
    <row r="227" spans="1:7">
      <c r="A227" t="s">
        <v>559</v>
      </c>
      <c r="B227">
        <v>432000</v>
      </c>
      <c r="C227">
        <v>4.75</v>
      </c>
      <c r="D227" t="s">
        <v>183</v>
      </c>
      <c r="E227" t="s">
        <v>307</v>
      </c>
      <c r="F227">
        <v>2025</v>
      </c>
      <c r="G227" t="s">
        <v>561</v>
      </c>
    </row>
    <row r="228" spans="1:7">
      <c r="A228" t="s">
        <v>562</v>
      </c>
      <c r="B228">
        <v>332000</v>
      </c>
      <c r="C228">
        <v>8.2100000000000009</v>
      </c>
      <c r="D228" t="s">
        <v>183</v>
      </c>
      <c r="E228" t="s">
        <v>564</v>
      </c>
      <c r="F228">
        <v>2025</v>
      </c>
      <c r="G228" t="s">
        <v>561</v>
      </c>
    </row>
    <row r="229" spans="1:7">
      <c r="A229" t="s">
        <v>565</v>
      </c>
      <c r="B229">
        <v>293000</v>
      </c>
      <c r="C229">
        <v>8.7200000000000006</v>
      </c>
      <c r="D229" t="s">
        <v>183</v>
      </c>
      <c r="E229" t="s">
        <v>38</v>
      </c>
      <c r="F229">
        <v>2025</v>
      </c>
      <c r="G229" t="s">
        <v>561</v>
      </c>
    </row>
    <row r="230" spans="1:7">
      <c r="A230" t="s">
        <v>567</v>
      </c>
      <c r="B230">
        <v>166000</v>
      </c>
      <c r="C230">
        <v>6.57</v>
      </c>
      <c r="D230" t="s">
        <v>183</v>
      </c>
      <c r="E230" t="s">
        <v>124</v>
      </c>
      <c r="F230">
        <v>2025</v>
      </c>
      <c r="G230" t="s">
        <v>561</v>
      </c>
    </row>
    <row r="231" spans="1:7">
      <c r="A231" t="s">
        <v>569</v>
      </c>
      <c r="B231">
        <v>161000</v>
      </c>
      <c r="C231">
        <v>7.36</v>
      </c>
      <c r="D231" t="s">
        <v>183</v>
      </c>
      <c r="E231" t="s">
        <v>159</v>
      </c>
      <c r="F231">
        <v>2025</v>
      </c>
      <c r="G231" t="s">
        <v>561</v>
      </c>
    </row>
    <row r="232" spans="1:7">
      <c r="A232" t="s">
        <v>571</v>
      </c>
      <c r="B232">
        <v>132000</v>
      </c>
      <c r="C232">
        <v>7.68</v>
      </c>
      <c r="D232" t="s">
        <v>1046</v>
      </c>
      <c r="E232" t="s">
        <v>13</v>
      </c>
      <c r="F232">
        <v>2025</v>
      </c>
      <c r="G232" t="s">
        <v>561</v>
      </c>
    </row>
    <row r="233" spans="1:7">
      <c r="A233" t="s">
        <v>573</v>
      </c>
      <c r="B233">
        <v>110000</v>
      </c>
      <c r="C233">
        <v>6.5</v>
      </c>
      <c r="D233" t="s">
        <v>167</v>
      </c>
      <c r="E233" t="s">
        <v>303</v>
      </c>
      <c r="F233">
        <v>2025</v>
      </c>
      <c r="G233" t="s">
        <v>561</v>
      </c>
    </row>
    <row r="234" spans="1:7">
      <c r="A234" t="s">
        <v>574</v>
      </c>
      <c r="B234">
        <v>105000</v>
      </c>
      <c r="C234">
        <v>7.47</v>
      </c>
      <c r="D234" t="s">
        <v>183</v>
      </c>
      <c r="E234" t="s">
        <v>575</v>
      </c>
      <c r="F234">
        <v>2025</v>
      </c>
      <c r="G234" t="s">
        <v>561</v>
      </c>
    </row>
    <row r="235" spans="1:7">
      <c r="A235" t="s">
        <v>576</v>
      </c>
      <c r="B235">
        <v>104000</v>
      </c>
      <c r="C235">
        <v>7.46</v>
      </c>
      <c r="D235" t="s">
        <v>183</v>
      </c>
      <c r="E235" t="s">
        <v>419</v>
      </c>
      <c r="F235">
        <v>2025</v>
      </c>
      <c r="G235" t="s">
        <v>561</v>
      </c>
    </row>
    <row r="236" spans="1:7">
      <c r="A236" t="s">
        <v>578</v>
      </c>
      <c r="B236">
        <v>78000</v>
      </c>
      <c r="C236">
        <v>6.56</v>
      </c>
      <c r="D236" t="s">
        <v>1280</v>
      </c>
      <c r="E236" t="s">
        <v>250</v>
      </c>
      <c r="F236">
        <v>2025</v>
      </c>
      <c r="G236" t="s">
        <v>561</v>
      </c>
    </row>
    <row r="237" spans="1:7">
      <c r="A237" t="s">
        <v>580</v>
      </c>
      <c r="B237">
        <v>76000</v>
      </c>
      <c r="C237">
        <v>7.45</v>
      </c>
      <c r="D237" t="s">
        <v>237</v>
      </c>
      <c r="E237" t="s">
        <v>582</v>
      </c>
      <c r="F237">
        <v>2025</v>
      </c>
      <c r="G237" t="s">
        <v>561</v>
      </c>
    </row>
    <row r="238" spans="1:7">
      <c r="A238" t="s">
        <v>583</v>
      </c>
      <c r="B238">
        <v>61000</v>
      </c>
      <c r="C238">
        <v>8.67</v>
      </c>
      <c r="D238" t="s">
        <v>237</v>
      </c>
      <c r="E238" t="s">
        <v>432</v>
      </c>
      <c r="F238">
        <v>2025</v>
      </c>
      <c r="G238" t="s">
        <v>561</v>
      </c>
    </row>
    <row r="239" spans="1:7">
      <c r="A239" t="s">
        <v>584</v>
      </c>
      <c r="B239">
        <v>5300</v>
      </c>
      <c r="C239">
        <v>5.85</v>
      </c>
      <c r="D239" t="s">
        <v>183</v>
      </c>
      <c r="E239" t="s">
        <v>585</v>
      </c>
      <c r="F239">
        <v>2025</v>
      </c>
      <c r="G239" t="s">
        <v>561</v>
      </c>
    </row>
    <row r="240" spans="1:7">
      <c r="A240" t="s">
        <v>586</v>
      </c>
      <c r="B240">
        <v>911</v>
      </c>
      <c r="C240">
        <v>7.32</v>
      </c>
      <c r="D240" t="s">
        <v>183</v>
      </c>
      <c r="E240" t="s">
        <v>386</v>
      </c>
      <c r="F240">
        <v>2025</v>
      </c>
      <c r="G240" t="s">
        <v>561</v>
      </c>
    </row>
    <row r="241" spans="1:7">
      <c r="A241" t="s">
        <v>587</v>
      </c>
      <c r="B241">
        <v>871</v>
      </c>
      <c r="C241">
        <v>6.84</v>
      </c>
      <c r="D241" t="s">
        <v>183</v>
      </c>
      <c r="E241" t="s">
        <v>588</v>
      </c>
      <c r="F241">
        <v>2025</v>
      </c>
      <c r="G241" t="s">
        <v>561</v>
      </c>
    </row>
    <row r="242" spans="1:7">
      <c r="A242" t="s">
        <v>589</v>
      </c>
      <c r="B242">
        <v>863</v>
      </c>
      <c r="C242">
        <v>6.99</v>
      </c>
      <c r="D242" t="s">
        <v>183</v>
      </c>
      <c r="E242" t="s">
        <v>401</v>
      </c>
      <c r="F242">
        <v>2025</v>
      </c>
      <c r="G242" t="s">
        <v>561</v>
      </c>
    </row>
    <row r="243" spans="1:7">
      <c r="A243" t="s">
        <v>590</v>
      </c>
      <c r="B243">
        <v>756</v>
      </c>
      <c r="C243">
        <v>6.88</v>
      </c>
      <c r="D243" t="s">
        <v>183</v>
      </c>
      <c r="E243" t="s">
        <v>591</v>
      </c>
      <c r="F243">
        <v>2025</v>
      </c>
      <c r="G243" t="s">
        <v>561</v>
      </c>
    </row>
    <row r="244" spans="1:7">
      <c r="A244" t="s">
        <v>592</v>
      </c>
      <c r="B244">
        <v>749</v>
      </c>
      <c r="C244">
        <v>6.24</v>
      </c>
      <c r="D244" t="s">
        <v>167</v>
      </c>
      <c r="E244" t="s">
        <v>312</v>
      </c>
      <c r="F244">
        <v>2025</v>
      </c>
      <c r="G244" t="s">
        <v>561</v>
      </c>
    </row>
    <row r="245" spans="1:7">
      <c r="A245" t="s">
        <v>594</v>
      </c>
      <c r="B245">
        <v>746</v>
      </c>
      <c r="C245">
        <v>6.36</v>
      </c>
      <c r="D245" t="s">
        <v>231</v>
      </c>
      <c r="E245" t="s">
        <v>244</v>
      </c>
      <c r="F245">
        <v>2025</v>
      </c>
      <c r="G245" t="s">
        <v>561</v>
      </c>
    </row>
    <row r="246" spans="1:7">
      <c r="A246" t="s">
        <v>596</v>
      </c>
      <c r="B246">
        <v>451</v>
      </c>
      <c r="C246">
        <v>6.07</v>
      </c>
      <c r="D246" t="s">
        <v>167</v>
      </c>
      <c r="E246" t="s">
        <v>381</v>
      </c>
      <c r="F246">
        <v>2025</v>
      </c>
      <c r="G246" t="s">
        <v>561</v>
      </c>
    </row>
    <row r="247" spans="1:7">
      <c r="A247" t="s">
        <v>598</v>
      </c>
      <c r="B247">
        <v>7700</v>
      </c>
      <c r="C247">
        <v>6.27</v>
      </c>
      <c r="D247" t="s">
        <v>183</v>
      </c>
      <c r="E247" t="s">
        <v>307</v>
      </c>
      <c r="F247">
        <v>2025</v>
      </c>
      <c r="G247" t="s">
        <v>561</v>
      </c>
    </row>
    <row r="248" spans="1:7">
      <c r="A248" t="s">
        <v>600</v>
      </c>
      <c r="B248">
        <v>1100000</v>
      </c>
      <c r="C248">
        <v>8.17</v>
      </c>
      <c r="D248" t="s">
        <v>183</v>
      </c>
      <c r="E248" t="s">
        <v>27</v>
      </c>
      <c r="F248">
        <v>2024</v>
      </c>
      <c r="G248" t="s">
        <v>10</v>
      </c>
    </row>
    <row r="249" spans="1:7">
      <c r="A249" t="s">
        <v>601</v>
      </c>
      <c r="B249">
        <v>574000</v>
      </c>
      <c r="C249">
        <v>8.59</v>
      </c>
      <c r="D249" t="s">
        <v>1046</v>
      </c>
      <c r="E249" t="s">
        <v>603</v>
      </c>
      <c r="F249">
        <v>2024</v>
      </c>
      <c r="G249" t="s">
        <v>10</v>
      </c>
    </row>
    <row r="250" spans="1:7">
      <c r="A250" t="s">
        <v>604</v>
      </c>
      <c r="B250">
        <v>523000</v>
      </c>
      <c r="C250">
        <v>7.93</v>
      </c>
      <c r="D250" t="s">
        <v>237</v>
      </c>
      <c r="E250" t="s">
        <v>606</v>
      </c>
      <c r="F250">
        <v>2024</v>
      </c>
      <c r="G250" t="s">
        <v>10</v>
      </c>
    </row>
    <row r="251" spans="1:7">
      <c r="A251" t="s">
        <v>607</v>
      </c>
      <c r="B251">
        <v>504000</v>
      </c>
      <c r="C251">
        <v>7.78</v>
      </c>
      <c r="D251" t="s">
        <v>183</v>
      </c>
      <c r="E251" t="s">
        <v>27</v>
      </c>
      <c r="F251">
        <v>2024</v>
      </c>
      <c r="G251" t="s">
        <v>10</v>
      </c>
    </row>
    <row r="252" spans="1:7">
      <c r="A252" t="s">
        <v>609</v>
      </c>
      <c r="B252">
        <v>342000</v>
      </c>
      <c r="C252">
        <v>8.1999999999999993</v>
      </c>
      <c r="D252" t="s">
        <v>1280</v>
      </c>
      <c r="E252" t="s">
        <v>611</v>
      </c>
      <c r="F252">
        <v>2024</v>
      </c>
      <c r="G252" t="s">
        <v>10</v>
      </c>
    </row>
    <row r="253" spans="1:7">
      <c r="A253" t="s">
        <v>612</v>
      </c>
      <c r="B253">
        <v>330000</v>
      </c>
      <c r="C253">
        <v>7.84</v>
      </c>
      <c r="D253" t="s">
        <v>183</v>
      </c>
      <c r="E253" t="s">
        <v>307</v>
      </c>
      <c r="F253">
        <v>2024</v>
      </c>
      <c r="G253" t="s">
        <v>10</v>
      </c>
    </row>
    <row r="254" spans="1:7">
      <c r="A254" t="s">
        <v>613</v>
      </c>
      <c r="B254">
        <v>321000</v>
      </c>
      <c r="C254">
        <v>7.53</v>
      </c>
      <c r="D254" t="s">
        <v>183</v>
      </c>
      <c r="E254" t="s">
        <v>614</v>
      </c>
      <c r="F254">
        <v>2024</v>
      </c>
      <c r="G254" t="s">
        <v>10</v>
      </c>
    </row>
    <row r="255" spans="1:7">
      <c r="A255" t="s">
        <v>615</v>
      </c>
      <c r="B255">
        <v>305000</v>
      </c>
      <c r="C255">
        <v>8.6999999999999993</v>
      </c>
      <c r="D255" t="s">
        <v>167</v>
      </c>
      <c r="E255" t="s">
        <v>241</v>
      </c>
      <c r="F255">
        <v>2024</v>
      </c>
      <c r="G255" t="s">
        <v>10</v>
      </c>
    </row>
    <row r="256" spans="1:7">
      <c r="A256" t="s">
        <v>617</v>
      </c>
      <c r="B256">
        <v>267000</v>
      </c>
      <c r="C256">
        <v>6.87</v>
      </c>
      <c r="D256" t="s">
        <v>183</v>
      </c>
      <c r="E256" t="s">
        <v>619</v>
      </c>
      <c r="F256">
        <v>2024</v>
      </c>
      <c r="G256" t="s">
        <v>10</v>
      </c>
    </row>
    <row r="257" spans="1:7">
      <c r="A257" t="s">
        <v>620</v>
      </c>
      <c r="B257">
        <v>233000</v>
      </c>
      <c r="C257">
        <v>7.53</v>
      </c>
      <c r="D257" t="s">
        <v>1280</v>
      </c>
      <c r="E257" t="s">
        <v>621</v>
      </c>
      <c r="F257">
        <v>2024</v>
      </c>
      <c r="G257" t="s">
        <v>10</v>
      </c>
    </row>
    <row r="258" spans="1:7">
      <c r="A258" t="s">
        <v>622</v>
      </c>
      <c r="B258">
        <v>221000</v>
      </c>
      <c r="C258">
        <v>7.05</v>
      </c>
      <c r="D258" t="s">
        <v>167</v>
      </c>
      <c r="E258" t="s">
        <v>623</v>
      </c>
      <c r="F258">
        <v>2024</v>
      </c>
      <c r="G258" t="s">
        <v>10</v>
      </c>
    </row>
    <row r="259" spans="1:7">
      <c r="A259" t="s">
        <v>624</v>
      </c>
      <c r="B259">
        <v>206000</v>
      </c>
      <c r="C259">
        <v>7.14</v>
      </c>
      <c r="D259" t="s">
        <v>57</v>
      </c>
      <c r="E259" t="s">
        <v>626</v>
      </c>
      <c r="F259">
        <v>2024</v>
      </c>
      <c r="G259" t="s">
        <v>10</v>
      </c>
    </row>
    <row r="260" spans="1:7">
      <c r="A260" t="s">
        <v>627</v>
      </c>
      <c r="B260">
        <v>203000</v>
      </c>
      <c r="C260">
        <v>7.61</v>
      </c>
      <c r="D260" t="s">
        <v>183</v>
      </c>
      <c r="E260" t="s">
        <v>319</v>
      </c>
      <c r="F260">
        <v>2024</v>
      </c>
      <c r="G260" t="s">
        <v>10</v>
      </c>
    </row>
    <row r="261" spans="1:7">
      <c r="A261" t="s">
        <v>629</v>
      </c>
      <c r="B261">
        <v>190000</v>
      </c>
      <c r="C261">
        <v>6.36</v>
      </c>
      <c r="D261" t="s">
        <v>183</v>
      </c>
      <c r="E261" t="s">
        <v>86</v>
      </c>
      <c r="F261">
        <v>2024</v>
      </c>
      <c r="G261" t="s">
        <v>10</v>
      </c>
    </row>
    <row r="262" spans="1:7">
      <c r="A262" t="s">
        <v>631</v>
      </c>
      <c r="B262">
        <v>189000</v>
      </c>
      <c r="C262">
        <v>7.46</v>
      </c>
      <c r="D262" t="s">
        <v>183</v>
      </c>
      <c r="E262" t="s">
        <v>61</v>
      </c>
      <c r="F262">
        <v>2024</v>
      </c>
      <c r="G262" t="s">
        <v>10</v>
      </c>
    </row>
    <row r="263" spans="1:7">
      <c r="A263" t="s">
        <v>633</v>
      </c>
      <c r="B263">
        <v>183000</v>
      </c>
      <c r="C263">
        <v>7.12</v>
      </c>
      <c r="D263" t="s">
        <v>183</v>
      </c>
      <c r="E263" t="s">
        <v>171</v>
      </c>
      <c r="F263">
        <v>2024</v>
      </c>
      <c r="G263" t="s">
        <v>10</v>
      </c>
    </row>
    <row r="264" spans="1:7">
      <c r="A264" t="s">
        <v>635</v>
      </c>
      <c r="B264">
        <v>155000</v>
      </c>
      <c r="C264">
        <v>6.76</v>
      </c>
      <c r="D264" t="s">
        <v>57</v>
      </c>
      <c r="E264" t="s">
        <v>273</v>
      </c>
      <c r="F264">
        <v>2024</v>
      </c>
      <c r="G264" t="s">
        <v>10</v>
      </c>
    </row>
    <row r="265" spans="1:7">
      <c r="A265" t="s">
        <v>636</v>
      </c>
      <c r="B265">
        <v>143000</v>
      </c>
      <c r="C265">
        <v>6.07</v>
      </c>
      <c r="D265" t="s">
        <v>183</v>
      </c>
      <c r="E265" t="s">
        <v>467</v>
      </c>
      <c r="F265">
        <v>2024</v>
      </c>
      <c r="G265" t="s">
        <v>10</v>
      </c>
    </row>
    <row r="266" spans="1:7">
      <c r="A266" t="s">
        <v>638</v>
      </c>
      <c r="B266">
        <v>141000</v>
      </c>
      <c r="C266">
        <v>7.57</v>
      </c>
      <c r="D266" t="s">
        <v>1046</v>
      </c>
      <c r="E266" t="s">
        <v>640</v>
      </c>
      <c r="F266">
        <v>2024</v>
      </c>
      <c r="G266" t="s">
        <v>10</v>
      </c>
    </row>
    <row r="267" spans="1:7">
      <c r="A267" t="s">
        <v>641</v>
      </c>
      <c r="B267">
        <v>134000</v>
      </c>
      <c r="C267">
        <v>6.74</v>
      </c>
      <c r="D267" t="s">
        <v>183</v>
      </c>
      <c r="E267" t="s">
        <v>643</v>
      </c>
      <c r="F267">
        <v>2024</v>
      </c>
      <c r="G267" t="s">
        <v>10</v>
      </c>
    </row>
    <row r="268" spans="1:7">
      <c r="A268" t="s">
        <v>644</v>
      </c>
      <c r="B268">
        <v>117000</v>
      </c>
      <c r="C268">
        <v>7.27</v>
      </c>
      <c r="D268" t="s">
        <v>57</v>
      </c>
      <c r="E268" t="s">
        <v>121</v>
      </c>
      <c r="F268">
        <v>2024</v>
      </c>
      <c r="G268" t="s">
        <v>10</v>
      </c>
    </row>
    <row r="269" spans="1:7">
      <c r="A269" t="s">
        <v>646</v>
      </c>
      <c r="B269">
        <v>116000</v>
      </c>
      <c r="C269">
        <v>6.21</v>
      </c>
      <c r="D269" t="s">
        <v>183</v>
      </c>
      <c r="E269" t="s">
        <v>647</v>
      </c>
      <c r="F269">
        <v>2024</v>
      </c>
      <c r="G269" t="s">
        <v>10</v>
      </c>
    </row>
    <row r="270" spans="1:7">
      <c r="A270" t="s">
        <v>648</v>
      </c>
      <c r="B270">
        <v>107000</v>
      </c>
      <c r="C270">
        <v>7.25</v>
      </c>
      <c r="D270" t="s">
        <v>57</v>
      </c>
      <c r="E270" t="s">
        <v>650</v>
      </c>
      <c r="F270">
        <v>2024</v>
      </c>
      <c r="G270" t="s">
        <v>10</v>
      </c>
    </row>
    <row r="271" spans="1:7">
      <c r="A271" t="s">
        <v>651</v>
      </c>
      <c r="B271">
        <v>96000</v>
      </c>
      <c r="C271">
        <v>6.79</v>
      </c>
      <c r="D271" t="s">
        <v>1046</v>
      </c>
      <c r="E271" t="s">
        <v>83</v>
      </c>
      <c r="F271">
        <v>2024</v>
      </c>
      <c r="G271" t="s">
        <v>10</v>
      </c>
    </row>
    <row r="272" spans="1:7">
      <c r="A272" t="s">
        <v>652</v>
      </c>
      <c r="B272">
        <v>52000</v>
      </c>
      <c r="C272">
        <v>7.11</v>
      </c>
      <c r="D272" t="s">
        <v>183</v>
      </c>
      <c r="E272" t="s">
        <v>654</v>
      </c>
      <c r="F272">
        <v>2024</v>
      </c>
      <c r="G272" t="s">
        <v>10</v>
      </c>
    </row>
    <row r="273" spans="1:7">
      <c r="A273" t="s">
        <v>655</v>
      </c>
      <c r="B273">
        <v>962</v>
      </c>
      <c r="C273">
        <v>6.3</v>
      </c>
      <c r="D273" t="s">
        <v>167</v>
      </c>
      <c r="E273" t="s">
        <v>656</v>
      </c>
      <c r="F273">
        <v>2024</v>
      </c>
      <c r="G273" t="s">
        <v>10</v>
      </c>
    </row>
    <row r="274" spans="1:7">
      <c r="A274" t="s">
        <v>657</v>
      </c>
      <c r="B274">
        <v>1400000</v>
      </c>
      <c r="C274">
        <v>9.27</v>
      </c>
      <c r="D274" t="s">
        <v>1046</v>
      </c>
      <c r="E274" t="s">
        <v>9</v>
      </c>
      <c r="F274">
        <v>2024</v>
      </c>
      <c r="G274" t="s">
        <v>10</v>
      </c>
    </row>
    <row r="275" spans="1:7">
      <c r="A275" t="s">
        <v>659</v>
      </c>
      <c r="B275">
        <v>821000</v>
      </c>
      <c r="C275">
        <v>8.85</v>
      </c>
      <c r="D275" t="s">
        <v>237</v>
      </c>
      <c r="E275" t="s">
        <v>285</v>
      </c>
      <c r="F275">
        <v>2024</v>
      </c>
      <c r="G275" t="s">
        <v>10</v>
      </c>
    </row>
    <row r="276" spans="1:7">
      <c r="A276" t="s">
        <v>660</v>
      </c>
      <c r="B276">
        <v>455000</v>
      </c>
      <c r="C276">
        <v>8.1</v>
      </c>
      <c r="D276" t="s">
        <v>183</v>
      </c>
      <c r="E276" t="s">
        <v>354</v>
      </c>
      <c r="F276">
        <v>2024</v>
      </c>
      <c r="G276" t="s">
        <v>10</v>
      </c>
    </row>
    <row r="277" spans="1:7">
      <c r="A277" t="s">
        <v>661</v>
      </c>
      <c r="B277">
        <v>346000</v>
      </c>
      <c r="C277">
        <v>7.74</v>
      </c>
      <c r="D277" t="s">
        <v>183</v>
      </c>
      <c r="E277" t="s">
        <v>24</v>
      </c>
      <c r="F277">
        <v>2024</v>
      </c>
      <c r="G277" t="s">
        <v>10</v>
      </c>
    </row>
    <row r="278" spans="1:7">
      <c r="A278" t="s">
        <v>663</v>
      </c>
      <c r="B278">
        <v>280000</v>
      </c>
      <c r="C278">
        <v>7.55</v>
      </c>
      <c r="D278" t="s">
        <v>183</v>
      </c>
      <c r="E278" t="s">
        <v>110</v>
      </c>
      <c r="F278">
        <v>2024</v>
      </c>
      <c r="G278" t="s">
        <v>10</v>
      </c>
    </row>
    <row r="279" spans="1:7">
      <c r="A279" t="s">
        <v>664</v>
      </c>
      <c r="B279">
        <v>8600</v>
      </c>
      <c r="C279">
        <v>7.1</v>
      </c>
      <c r="D279" t="s">
        <v>231</v>
      </c>
      <c r="E279" t="s">
        <v>666</v>
      </c>
      <c r="F279">
        <v>2024</v>
      </c>
      <c r="G279" t="s">
        <v>10</v>
      </c>
    </row>
    <row r="280" spans="1:7">
      <c r="A280" t="s">
        <v>667</v>
      </c>
      <c r="B280">
        <v>9900</v>
      </c>
      <c r="C280">
        <v>7.97</v>
      </c>
      <c r="D280" t="s">
        <v>1280</v>
      </c>
      <c r="E280" t="s">
        <v>203</v>
      </c>
      <c r="F280">
        <v>2024</v>
      </c>
      <c r="G280" t="s">
        <v>10</v>
      </c>
    </row>
    <row r="281" spans="1:7">
      <c r="A281" t="s">
        <v>669</v>
      </c>
      <c r="B281">
        <v>854</v>
      </c>
      <c r="C281">
        <v>6.56</v>
      </c>
      <c r="D281" t="s">
        <v>1286</v>
      </c>
      <c r="E281" t="s">
        <v>101</v>
      </c>
      <c r="F281">
        <v>2024</v>
      </c>
      <c r="G281" t="s">
        <v>10</v>
      </c>
    </row>
    <row r="282" spans="1:7">
      <c r="A282" t="s">
        <v>671</v>
      </c>
      <c r="B282">
        <v>831</v>
      </c>
      <c r="C282">
        <v>6.3</v>
      </c>
      <c r="D282" t="s">
        <v>237</v>
      </c>
      <c r="E282" t="s">
        <v>372</v>
      </c>
      <c r="F282">
        <v>2024</v>
      </c>
      <c r="G282" t="s">
        <v>10</v>
      </c>
    </row>
    <row r="283" spans="1:7">
      <c r="A283" t="s">
        <v>673</v>
      </c>
      <c r="B283">
        <v>813</v>
      </c>
      <c r="C283">
        <v>6.33</v>
      </c>
      <c r="D283" t="s">
        <v>57</v>
      </c>
      <c r="E283" t="s">
        <v>675</v>
      </c>
      <c r="F283">
        <v>2024</v>
      </c>
      <c r="G283" t="s">
        <v>10</v>
      </c>
    </row>
    <row r="284" spans="1:7">
      <c r="A284" t="s">
        <v>676</v>
      </c>
      <c r="B284">
        <v>805</v>
      </c>
      <c r="C284">
        <v>6.23</v>
      </c>
      <c r="D284" t="s">
        <v>167</v>
      </c>
      <c r="E284" t="s">
        <v>195</v>
      </c>
      <c r="F284">
        <v>2024</v>
      </c>
      <c r="G284" t="s">
        <v>10</v>
      </c>
    </row>
    <row r="285" spans="1:7">
      <c r="A285" t="s">
        <v>678</v>
      </c>
      <c r="B285">
        <v>775</v>
      </c>
      <c r="C285">
        <v>6.85</v>
      </c>
      <c r="D285" t="s">
        <v>183</v>
      </c>
      <c r="E285" t="s">
        <v>588</v>
      </c>
      <c r="F285">
        <v>2024</v>
      </c>
      <c r="G285" t="s">
        <v>10</v>
      </c>
    </row>
    <row r="286" spans="1:7">
      <c r="A286" t="s">
        <v>679</v>
      </c>
      <c r="B286">
        <v>680</v>
      </c>
      <c r="C286">
        <v>6.61</v>
      </c>
      <c r="D286" t="s">
        <v>57</v>
      </c>
      <c r="E286" t="s">
        <v>681</v>
      </c>
      <c r="F286">
        <v>2024</v>
      </c>
      <c r="G286" t="s">
        <v>10</v>
      </c>
    </row>
    <row r="287" spans="1:7">
      <c r="A287" t="s">
        <v>682</v>
      </c>
      <c r="B287">
        <v>559</v>
      </c>
      <c r="C287">
        <v>5.92</v>
      </c>
      <c r="D287" t="s">
        <v>167</v>
      </c>
      <c r="E287" t="s">
        <v>683</v>
      </c>
      <c r="F287">
        <v>2024</v>
      </c>
      <c r="G287" t="s">
        <v>10</v>
      </c>
    </row>
    <row r="288" spans="1:7">
      <c r="A288" t="s">
        <v>684</v>
      </c>
      <c r="B288">
        <v>493</v>
      </c>
      <c r="C288">
        <v>6.66</v>
      </c>
      <c r="D288" t="s">
        <v>183</v>
      </c>
      <c r="E288" t="s">
        <v>401</v>
      </c>
      <c r="F288">
        <v>2024</v>
      </c>
      <c r="G288" t="s">
        <v>10</v>
      </c>
    </row>
    <row r="289" spans="1:7">
      <c r="A289" t="s">
        <v>685</v>
      </c>
      <c r="B289">
        <v>719</v>
      </c>
      <c r="C289">
        <v>6.12</v>
      </c>
      <c r="D289" t="s">
        <v>57</v>
      </c>
      <c r="E289" t="s">
        <v>139</v>
      </c>
      <c r="F289">
        <v>2024</v>
      </c>
      <c r="G289" t="s">
        <v>10</v>
      </c>
    </row>
    <row r="290" spans="1:7">
      <c r="A290" t="s">
        <v>686</v>
      </c>
      <c r="B290">
        <v>313</v>
      </c>
      <c r="C290">
        <v>6.51</v>
      </c>
      <c r="D290" t="s">
        <v>237</v>
      </c>
      <c r="E290" t="s">
        <v>687</v>
      </c>
      <c r="F290">
        <v>2024</v>
      </c>
      <c r="G290" t="s">
        <v>10</v>
      </c>
    </row>
    <row r="291" spans="1:7">
      <c r="A291" t="s">
        <v>688</v>
      </c>
      <c r="B291">
        <v>833</v>
      </c>
      <c r="C291">
        <v>5.97</v>
      </c>
      <c r="D291" t="s">
        <v>1291</v>
      </c>
      <c r="E291" t="s">
        <v>419</v>
      </c>
      <c r="F291">
        <v>2024</v>
      </c>
      <c r="G291" t="s">
        <v>10</v>
      </c>
    </row>
    <row r="292" spans="1:7">
      <c r="A292" t="s">
        <v>689</v>
      </c>
      <c r="B292">
        <v>460</v>
      </c>
      <c r="C292">
        <v>6.35</v>
      </c>
      <c r="D292" t="s">
        <v>1287</v>
      </c>
      <c r="E292" t="s">
        <v>691</v>
      </c>
      <c r="F292">
        <v>2024</v>
      </c>
      <c r="G292" t="s">
        <v>10</v>
      </c>
    </row>
    <row r="293" spans="1:7">
      <c r="A293" t="s">
        <v>692</v>
      </c>
      <c r="B293">
        <v>511000</v>
      </c>
      <c r="C293">
        <v>8.52</v>
      </c>
      <c r="D293" t="s">
        <v>237</v>
      </c>
      <c r="E293" t="s">
        <v>21</v>
      </c>
      <c r="F293">
        <v>2024</v>
      </c>
      <c r="G293" t="s">
        <v>420</v>
      </c>
    </row>
    <row r="294" spans="1:7">
      <c r="A294" t="s">
        <v>693</v>
      </c>
      <c r="B294">
        <v>493000</v>
      </c>
      <c r="C294">
        <v>7.54</v>
      </c>
      <c r="D294" t="s">
        <v>167</v>
      </c>
      <c r="E294" t="s">
        <v>21</v>
      </c>
      <c r="F294">
        <v>2024</v>
      </c>
      <c r="G294" t="s">
        <v>420</v>
      </c>
    </row>
    <row r="295" spans="1:7">
      <c r="A295" t="s">
        <v>694</v>
      </c>
      <c r="B295">
        <v>327000</v>
      </c>
      <c r="C295">
        <v>8.08</v>
      </c>
      <c r="D295" t="s">
        <v>167</v>
      </c>
      <c r="E295" t="s">
        <v>27</v>
      </c>
      <c r="F295">
        <v>2024</v>
      </c>
      <c r="G295" t="s">
        <v>420</v>
      </c>
    </row>
    <row r="296" spans="1:7">
      <c r="A296" t="s">
        <v>695</v>
      </c>
      <c r="B296">
        <v>290000</v>
      </c>
      <c r="C296">
        <v>6.66</v>
      </c>
      <c r="D296" t="s">
        <v>183</v>
      </c>
      <c r="E296" t="s">
        <v>697</v>
      </c>
      <c r="F296">
        <v>2024</v>
      </c>
      <c r="G296" t="s">
        <v>420</v>
      </c>
    </row>
    <row r="297" spans="1:7">
      <c r="A297" t="s">
        <v>698</v>
      </c>
      <c r="B297">
        <v>276000</v>
      </c>
      <c r="C297">
        <v>6.95</v>
      </c>
      <c r="D297" t="s">
        <v>167</v>
      </c>
      <c r="E297" t="s">
        <v>191</v>
      </c>
      <c r="F297">
        <v>2024</v>
      </c>
      <c r="G297" t="s">
        <v>420</v>
      </c>
    </row>
    <row r="298" spans="1:7">
      <c r="A298" t="s">
        <v>700</v>
      </c>
      <c r="B298">
        <v>235000</v>
      </c>
      <c r="C298">
        <v>7.25</v>
      </c>
      <c r="D298" t="s">
        <v>1046</v>
      </c>
      <c r="E298" t="s">
        <v>702</v>
      </c>
      <c r="F298">
        <v>2024</v>
      </c>
      <c r="G298" t="s">
        <v>420</v>
      </c>
    </row>
    <row r="299" spans="1:7">
      <c r="A299" t="s">
        <v>703</v>
      </c>
      <c r="B299">
        <v>227000</v>
      </c>
      <c r="C299">
        <v>6.47</v>
      </c>
      <c r="D299" t="s">
        <v>183</v>
      </c>
      <c r="E299" t="s">
        <v>619</v>
      </c>
      <c r="F299">
        <v>2024</v>
      </c>
      <c r="G299" t="s">
        <v>420</v>
      </c>
    </row>
    <row r="300" spans="1:7">
      <c r="A300" t="s">
        <v>704</v>
      </c>
      <c r="B300">
        <v>223000</v>
      </c>
      <c r="C300">
        <v>7.82</v>
      </c>
      <c r="D300" t="s">
        <v>167</v>
      </c>
      <c r="E300" t="s">
        <v>705</v>
      </c>
      <c r="F300">
        <v>2024</v>
      </c>
      <c r="G300" t="s">
        <v>420</v>
      </c>
    </row>
    <row r="301" spans="1:7">
      <c r="A301" t="s">
        <v>706</v>
      </c>
      <c r="B301">
        <v>215000</v>
      </c>
      <c r="C301">
        <v>6.87</v>
      </c>
      <c r="D301" t="s">
        <v>183</v>
      </c>
      <c r="E301" t="s">
        <v>104</v>
      </c>
      <c r="F301">
        <v>2024</v>
      </c>
      <c r="G301" t="s">
        <v>420</v>
      </c>
    </row>
    <row r="302" spans="1:7">
      <c r="A302" t="s">
        <v>707</v>
      </c>
      <c r="B302">
        <v>159000</v>
      </c>
      <c r="C302">
        <v>7.41</v>
      </c>
      <c r="D302" t="s">
        <v>167</v>
      </c>
      <c r="E302" t="s">
        <v>307</v>
      </c>
      <c r="F302">
        <v>2024</v>
      </c>
      <c r="G302" t="s">
        <v>420</v>
      </c>
    </row>
    <row r="303" spans="1:7">
      <c r="A303" t="s">
        <v>709</v>
      </c>
      <c r="B303">
        <v>139000</v>
      </c>
      <c r="C303">
        <v>6.23</v>
      </c>
      <c r="D303" t="s">
        <v>183</v>
      </c>
      <c r="E303" t="s">
        <v>70</v>
      </c>
      <c r="F303">
        <v>2024</v>
      </c>
      <c r="G303" t="s">
        <v>420</v>
      </c>
    </row>
    <row r="304" spans="1:7">
      <c r="A304" t="s">
        <v>710</v>
      </c>
      <c r="B304">
        <v>471000</v>
      </c>
      <c r="C304">
        <v>8.1300000000000008</v>
      </c>
      <c r="D304" t="s">
        <v>183</v>
      </c>
      <c r="E304" t="s">
        <v>647</v>
      </c>
      <c r="F304">
        <v>2024</v>
      </c>
      <c r="G304" t="s">
        <v>420</v>
      </c>
    </row>
    <row r="305" spans="1:7">
      <c r="A305" t="s">
        <v>711</v>
      </c>
      <c r="B305">
        <v>470000</v>
      </c>
      <c r="C305">
        <v>7.7</v>
      </c>
      <c r="D305" t="s">
        <v>183</v>
      </c>
      <c r="E305" t="s">
        <v>256</v>
      </c>
      <c r="F305">
        <v>2024</v>
      </c>
      <c r="G305" t="s">
        <v>420</v>
      </c>
    </row>
    <row r="306" spans="1:7">
      <c r="A306" t="s">
        <v>712</v>
      </c>
      <c r="B306">
        <v>260000</v>
      </c>
      <c r="C306">
        <v>8.1199999999999992</v>
      </c>
      <c r="D306" t="s">
        <v>1046</v>
      </c>
      <c r="E306" t="s">
        <v>643</v>
      </c>
      <c r="F306">
        <v>2024</v>
      </c>
      <c r="G306" t="s">
        <v>420</v>
      </c>
    </row>
    <row r="307" spans="1:7">
      <c r="A307" t="s">
        <v>714</v>
      </c>
      <c r="B307">
        <v>981</v>
      </c>
      <c r="C307">
        <v>6.56</v>
      </c>
      <c r="D307" t="s">
        <v>231</v>
      </c>
      <c r="E307" t="s">
        <v>716</v>
      </c>
      <c r="F307">
        <v>2024</v>
      </c>
      <c r="G307" t="s">
        <v>420</v>
      </c>
    </row>
    <row r="308" spans="1:7">
      <c r="A308" t="s">
        <v>717</v>
      </c>
      <c r="B308">
        <v>940</v>
      </c>
      <c r="C308">
        <v>7.83</v>
      </c>
      <c r="D308" t="s">
        <v>167</v>
      </c>
      <c r="E308" t="s">
        <v>718</v>
      </c>
      <c r="F308">
        <v>2024</v>
      </c>
      <c r="G308" t="s">
        <v>420</v>
      </c>
    </row>
    <row r="309" spans="1:7">
      <c r="A309" t="s">
        <v>719</v>
      </c>
      <c r="B309">
        <v>884</v>
      </c>
      <c r="C309">
        <v>5.85</v>
      </c>
      <c r="D309" t="s">
        <v>167</v>
      </c>
      <c r="E309" t="s">
        <v>381</v>
      </c>
      <c r="F309">
        <v>2024</v>
      </c>
      <c r="G309" t="s">
        <v>420</v>
      </c>
    </row>
    <row r="310" spans="1:7">
      <c r="A310" t="s">
        <v>721</v>
      </c>
      <c r="B310">
        <v>878</v>
      </c>
      <c r="C310">
        <v>6.87</v>
      </c>
      <c r="D310" t="s">
        <v>183</v>
      </c>
      <c r="E310" t="s">
        <v>212</v>
      </c>
      <c r="F310">
        <v>2024</v>
      </c>
      <c r="G310" t="s">
        <v>420</v>
      </c>
    </row>
    <row r="311" spans="1:7">
      <c r="A311" t="s">
        <v>722</v>
      </c>
      <c r="B311">
        <v>874</v>
      </c>
      <c r="C311">
        <v>7.24</v>
      </c>
      <c r="D311" t="s">
        <v>183</v>
      </c>
      <c r="E311" t="s">
        <v>724</v>
      </c>
      <c r="F311">
        <v>2024</v>
      </c>
      <c r="G311" t="s">
        <v>420</v>
      </c>
    </row>
    <row r="312" spans="1:7">
      <c r="A312" t="s">
        <v>725</v>
      </c>
      <c r="B312">
        <v>811</v>
      </c>
      <c r="C312">
        <v>7.32</v>
      </c>
      <c r="D312" t="s">
        <v>237</v>
      </c>
      <c r="E312" t="s">
        <v>727</v>
      </c>
      <c r="F312">
        <v>2024</v>
      </c>
      <c r="G312" t="s">
        <v>420</v>
      </c>
    </row>
    <row r="313" spans="1:7">
      <c r="A313" t="s">
        <v>728</v>
      </c>
      <c r="B313">
        <v>802</v>
      </c>
      <c r="C313">
        <v>6.84</v>
      </c>
      <c r="D313" t="s">
        <v>183</v>
      </c>
      <c r="E313" t="s">
        <v>727</v>
      </c>
      <c r="F313">
        <v>2024</v>
      </c>
      <c r="G313" t="s">
        <v>420</v>
      </c>
    </row>
    <row r="314" spans="1:7">
      <c r="A314" t="s">
        <v>729</v>
      </c>
      <c r="B314">
        <v>753</v>
      </c>
      <c r="C314">
        <v>7.51</v>
      </c>
      <c r="D314" t="s">
        <v>183</v>
      </c>
      <c r="E314" t="s">
        <v>195</v>
      </c>
      <c r="F314">
        <v>2024</v>
      </c>
      <c r="G314" t="s">
        <v>420</v>
      </c>
    </row>
    <row r="315" spans="1:7">
      <c r="A315" t="s">
        <v>730</v>
      </c>
      <c r="B315">
        <v>742</v>
      </c>
      <c r="C315">
        <v>6.56</v>
      </c>
      <c r="D315" t="s">
        <v>183</v>
      </c>
      <c r="E315" t="s">
        <v>732</v>
      </c>
      <c r="F315">
        <v>2024</v>
      </c>
      <c r="G315" t="s">
        <v>420</v>
      </c>
    </row>
    <row r="316" spans="1:7">
      <c r="A316" t="s">
        <v>733</v>
      </c>
      <c r="B316">
        <v>702</v>
      </c>
      <c r="C316">
        <v>6.76</v>
      </c>
      <c r="D316" t="s">
        <v>183</v>
      </c>
      <c r="E316" t="s">
        <v>212</v>
      </c>
      <c r="F316">
        <v>2024</v>
      </c>
      <c r="G316" t="s">
        <v>420</v>
      </c>
    </row>
    <row r="317" spans="1:7">
      <c r="A317" t="s">
        <v>734</v>
      </c>
      <c r="B317">
        <v>578</v>
      </c>
      <c r="C317">
        <v>6.71</v>
      </c>
      <c r="D317" t="s">
        <v>183</v>
      </c>
      <c r="E317" t="s">
        <v>591</v>
      </c>
      <c r="F317">
        <v>2024</v>
      </c>
      <c r="G317" t="s">
        <v>420</v>
      </c>
    </row>
    <row r="318" spans="1:7">
      <c r="A318" t="s">
        <v>735</v>
      </c>
      <c r="B318">
        <v>480</v>
      </c>
      <c r="C318">
        <v>5.9</v>
      </c>
      <c r="D318" t="s">
        <v>237</v>
      </c>
      <c r="E318" t="s">
        <v>737</v>
      </c>
      <c r="F318">
        <v>2024</v>
      </c>
      <c r="G318" t="s">
        <v>420</v>
      </c>
    </row>
    <row r="319" spans="1:7">
      <c r="A319" t="s">
        <v>738</v>
      </c>
      <c r="B319">
        <v>393</v>
      </c>
      <c r="C319">
        <v>6.2</v>
      </c>
      <c r="D319" t="s">
        <v>231</v>
      </c>
      <c r="E319" t="s">
        <v>739</v>
      </c>
      <c r="F319">
        <v>2024</v>
      </c>
      <c r="G319" t="s">
        <v>420</v>
      </c>
    </row>
    <row r="320" spans="1:7">
      <c r="A320" t="s">
        <v>740</v>
      </c>
      <c r="B320">
        <v>943</v>
      </c>
      <c r="C320">
        <v>6.67</v>
      </c>
      <c r="D320" t="s">
        <v>1046</v>
      </c>
      <c r="E320" t="s">
        <v>742</v>
      </c>
      <c r="F320">
        <v>2024</v>
      </c>
      <c r="G320" t="s">
        <v>420</v>
      </c>
    </row>
    <row r="321" spans="1:7">
      <c r="A321" t="s">
        <v>743</v>
      </c>
      <c r="B321">
        <v>762000</v>
      </c>
      <c r="C321">
        <v>8.02</v>
      </c>
      <c r="D321" t="s">
        <v>183</v>
      </c>
      <c r="E321" t="s">
        <v>498</v>
      </c>
      <c r="F321">
        <v>2024</v>
      </c>
      <c r="G321" t="s">
        <v>257</v>
      </c>
    </row>
    <row r="322" spans="1:7">
      <c r="A322" t="s">
        <v>745</v>
      </c>
      <c r="B322">
        <v>719000</v>
      </c>
      <c r="C322">
        <v>8.2200000000000006</v>
      </c>
      <c r="D322" t="s">
        <v>183</v>
      </c>
      <c r="E322" t="s">
        <v>429</v>
      </c>
      <c r="F322">
        <v>2024</v>
      </c>
      <c r="G322" t="s">
        <v>257</v>
      </c>
    </row>
    <row r="323" spans="1:7">
      <c r="A323" t="s">
        <v>746</v>
      </c>
      <c r="B323">
        <v>564000</v>
      </c>
      <c r="C323">
        <v>8.39</v>
      </c>
      <c r="D323" t="s">
        <v>1046</v>
      </c>
      <c r="E323" t="s">
        <v>748</v>
      </c>
      <c r="F323">
        <v>2024</v>
      </c>
      <c r="G323" t="s">
        <v>257</v>
      </c>
    </row>
    <row r="324" spans="1:7">
      <c r="A324" t="s">
        <v>749</v>
      </c>
      <c r="B324">
        <v>545000</v>
      </c>
      <c r="C324">
        <v>8.34</v>
      </c>
      <c r="D324" t="s">
        <v>1046</v>
      </c>
      <c r="E324" t="s">
        <v>365</v>
      </c>
      <c r="F324">
        <v>2024</v>
      </c>
      <c r="G324" t="s">
        <v>257</v>
      </c>
    </row>
    <row r="325" spans="1:7">
      <c r="A325" t="s">
        <v>750</v>
      </c>
      <c r="B325">
        <v>457000</v>
      </c>
      <c r="C325">
        <v>7.71</v>
      </c>
      <c r="D325" t="s">
        <v>183</v>
      </c>
      <c r="E325" t="s">
        <v>300</v>
      </c>
      <c r="F325">
        <v>2024</v>
      </c>
      <c r="G325" t="s">
        <v>257</v>
      </c>
    </row>
    <row r="326" spans="1:7">
      <c r="A326" t="s">
        <v>751</v>
      </c>
      <c r="B326">
        <v>262000</v>
      </c>
      <c r="C326">
        <v>7.41</v>
      </c>
      <c r="D326" t="s">
        <v>1046</v>
      </c>
      <c r="E326" t="s">
        <v>454</v>
      </c>
      <c r="F326">
        <v>2024</v>
      </c>
      <c r="G326" t="s">
        <v>257</v>
      </c>
    </row>
    <row r="327" spans="1:7">
      <c r="A327" t="s">
        <v>752</v>
      </c>
      <c r="B327">
        <v>249000</v>
      </c>
      <c r="C327">
        <v>6.82</v>
      </c>
      <c r="D327" t="s">
        <v>1046</v>
      </c>
      <c r="E327" t="s">
        <v>307</v>
      </c>
      <c r="F327">
        <v>2024</v>
      </c>
      <c r="G327" t="s">
        <v>257</v>
      </c>
    </row>
    <row r="328" spans="1:7">
      <c r="A328" t="s">
        <v>754</v>
      </c>
      <c r="B328">
        <v>207000</v>
      </c>
      <c r="C328">
        <v>6.48</v>
      </c>
      <c r="D328" t="s">
        <v>183</v>
      </c>
      <c r="E328" t="s">
        <v>110</v>
      </c>
      <c r="F328">
        <v>2024</v>
      </c>
      <c r="G328" t="s">
        <v>257</v>
      </c>
    </row>
    <row r="329" spans="1:7">
      <c r="A329" t="s">
        <v>756</v>
      </c>
      <c r="B329">
        <v>193000</v>
      </c>
      <c r="C329">
        <v>7.16</v>
      </c>
      <c r="D329" t="s">
        <v>1046</v>
      </c>
      <c r="E329" t="s">
        <v>244</v>
      </c>
      <c r="F329">
        <v>2024</v>
      </c>
      <c r="G329" t="s">
        <v>257</v>
      </c>
    </row>
    <row r="330" spans="1:7">
      <c r="A330" t="s">
        <v>757</v>
      </c>
      <c r="B330">
        <v>186000</v>
      </c>
      <c r="C330">
        <v>6.54</v>
      </c>
      <c r="D330" t="s">
        <v>183</v>
      </c>
      <c r="E330" t="s">
        <v>35</v>
      </c>
      <c r="F330">
        <v>2024</v>
      </c>
      <c r="G330" t="s">
        <v>257</v>
      </c>
    </row>
    <row r="331" spans="1:7">
      <c r="A331" t="s">
        <v>759</v>
      </c>
      <c r="B331">
        <v>150000</v>
      </c>
      <c r="C331">
        <v>7.45</v>
      </c>
      <c r="D331" t="s">
        <v>167</v>
      </c>
      <c r="E331" t="s">
        <v>41</v>
      </c>
      <c r="F331">
        <v>2024</v>
      </c>
      <c r="G331" t="s">
        <v>257</v>
      </c>
    </row>
    <row r="332" spans="1:7">
      <c r="A332" t="s">
        <v>761</v>
      </c>
      <c r="B332">
        <v>133000</v>
      </c>
      <c r="C332">
        <v>7.75</v>
      </c>
      <c r="D332" t="s">
        <v>237</v>
      </c>
      <c r="E332" t="s">
        <v>21</v>
      </c>
      <c r="F332">
        <v>2024</v>
      </c>
      <c r="G332" t="s">
        <v>257</v>
      </c>
    </row>
    <row r="333" spans="1:7">
      <c r="A333" t="s">
        <v>763</v>
      </c>
      <c r="B333">
        <v>103000</v>
      </c>
      <c r="C333">
        <v>6.27</v>
      </c>
      <c r="D333" t="s">
        <v>57</v>
      </c>
      <c r="E333" t="s">
        <v>159</v>
      </c>
      <c r="F333">
        <v>2024</v>
      </c>
      <c r="G333" t="s">
        <v>257</v>
      </c>
    </row>
    <row r="334" spans="1:7">
      <c r="A334" t="s">
        <v>765</v>
      </c>
      <c r="B334">
        <v>95000</v>
      </c>
      <c r="C334">
        <v>7.32</v>
      </c>
      <c r="D334" t="s">
        <v>183</v>
      </c>
      <c r="E334" t="s">
        <v>86</v>
      </c>
      <c r="F334">
        <v>2024</v>
      </c>
      <c r="G334" t="s">
        <v>257</v>
      </c>
    </row>
    <row r="335" spans="1:7">
      <c r="A335" t="s">
        <v>767</v>
      </c>
      <c r="B335">
        <v>832</v>
      </c>
      <c r="C335">
        <v>6.09</v>
      </c>
      <c r="D335" t="s">
        <v>167</v>
      </c>
      <c r="E335" t="s">
        <v>165</v>
      </c>
      <c r="F335">
        <v>2024</v>
      </c>
      <c r="G335" t="s">
        <v>257</v>
      </c>
    </row>
    <row r="336" spans="1:7">
      <c r="A336" t="s">
        <v>768</v>
      </c>
      <c r="B336">
        <v>612</v>
      </c>
      <c r="C336">
        <v>5.58</v>
      </c>
      <c r="D336" t="s">
        <v>167</v>
      </c>
      <c r="E336" t="s">
        <v>769</v>
      </c>
      <c r="F336">
        <v>2024</v>
      </c>
      <c r="G336" t="s">
        <v>257</v>
      </c>
    </row>
    <row r="337" spans="1:7">
      <c r="A337" t="s">
        <v>770</v>
      </c>
      <c r="B337">
        <v>986</v>
      </c>
      <c r="C337">
        <v>7.89</v>
      </c>
      <c r="D337" t="s">
        <v>167</v>
      </c>
      <c r="E337" t="s">
        <v>718</v>
      </c>
      <c r="F337">
        <v>2024</v>
      </c>
      <c r="G337" t="s">
        <v>257</v>
      </c>
    </row>
    <row r="338" spans="1:7">
      <c r="A338" t="s">
        <v>771</v>
      </c>
      <c r="B338">
        <v>982</v>
      </c>
      <c r="C338">
        <v>7.15</v>
      </c>
      <c r="D338" t="s">
        <v>183</v>
      </c>
      <c r="E338" t="s">
        <v>392</v>
      </c>
      <c r="F338">
        <v>2024</v>
      </c>
      <c r="G338" t="s">
        <v>257</v>
      </c>
    </row>
    <row r="339" spans="1:7">
      <c r="A339" t="s">
        <v>772</v>
      </c>
      <c r="B339">
        <v>917</v>
      </c>
      <c r="C339">
        <v>7.29</v>
      </c>
      <c r="D339" t="s">
        <v>183</v>
      </c>
      <c r="E339" t="s">
        <v>773</v>
      </c>
      <c r="F339">
        <v>2024</v>
      </c>
      <c r="G339" t="s">
        <v>257</v>
      </c>
    </row>
    <row r="340" spans="1:7">
      <c r="A340" t="s">
        <v>774</v>
      </c>
      <c r="B340">
        <v>794</v>
      </c>
      <c r="C340">
        <v>6.64</v>
      </c>
      <c r="D340" t="s">
        <v>183</v>
      </c>
      <c r="E340" t="s">
        <v>591</v>
      </c>
      <c r="F340">
        <v>2024</v>
      </c>
      <c r="G340" t="s">
        <v>257</v>
      </c>
    </row>
    <row r="341" spans="1:7">
      <c r="A341" t="s">
        <v>775</v>
      </c>
      <c r="B341">
        <v>751</v>
      </c>
      <c r="C341">
        <v>6.42</v>
      </c>
      <c r="D341" t="s">
        <v>1043</v>
      </c>
      <c r="E341" t="s">
        <v>777</v>
      </c>
      <c r="F341">
        <v>2024</v>
      </c>
      <c r="G341" t="s">
        <v>257</v>
      </c>
    </row>
    <row r="342" spans="1:7">
      <c r="A342" t="s">
        <v>778</v>
      </c>
      <c r="B342">
        <v>693</v>
      </c>
      <c r="C342">
        <v>6.31</v>
      </c>
      <c r="D342" t="s">
        <v>183</v>
      </c>
      <c r="E342" t="s">
        <v>200</v>
      </c>
      <c r="F342">
        <v>2024</v>
      </c>
      <c r="G342" t="s">
        <v>257</v>
      </c>
    </row>
    <row r="343" spans="1:7">
      <c r="A343" t="s">
        <v>779</v>
      </c>
      <c r="B343">
        <v>671</v>
      </c>
      <c r="C343">
        <v>6.85</v>
      </c>
      <c r="D343" t="s">
        <v>183</v>
      </c>
      <c r="E343" t="s">
        <v>591</v>
      </c>
      <c r="F343">
        <v>2024</v>
      </c>
      <c r="G343" t="s">
        <v>257</v>
      </c>
    </row>
    <row r="344" spans="1:7">
      <c r="A344" t="s">
        <v>780</v>
      </c>
      <c r="B344">
        <v>610</v>
      </c>
      <c r="C344">
        <v>6.72</v>
      </c>
      <c r="D344" t="s">
        <v>183</v>
      </c>
      <c r="E344" t="s">
        <v>591</v>
      </c>
      <c r="F344">
        <v>2024</v>
      </c>
      <c r="G344" t="s">
        <v>257</v>
      </c>
    </row>
    <row r="345" spans="1:7">
      <c r="A345" t="s">
        <v>782</v>
      </c>
      <c r="B345">
        <v>440</v>
      </c>
      <c r="C345">
        <v>5.78</v>
      </c>
      <c r="D345" t="s">
        <v>1282</v>
      </c>
      <c r="E345" t="s">
        <v>381</v>
      </c>
      <c r="F345">
        <v>2024</v>
      </c>
      <c r="G345" t="s">
        <v>257</v>
      </c>
    </row>
    <row r="346" spans="1:7">
      <c r="A346" t="s">
        <v>784</v>
      </c>
      <c r="B346">
        <v>428</v>
      </c>
      <c r="C346">
        <v>6.08</v>
      </c>
      <c r="D346" t="s">
        <v>57</v>
      </c>
      <c r="E346" t="s">
        <v>786</v>
      </c>
      <c r="F346">
        <v>2024</v>
      </c>
      <c r="G346" t="s">
        <v>257</v>
      </c>
    </row>
    <row r="347" spans="1:7">
      <c r="A347" t="s">
        <v>787</v>
      </c>
      <c r="B347">
        <v>312</v>
      </c>
      <c r="C347">
        <v>6.65</v>
      </c>
      <c r="D347" t="s">
        <v>183</v>
      </c>
      <c r="E347" t="s">
        <v>789</v>
      </c>
      <c r="F347">
        <v>2024</v>
      </c>
      <c r="G347" t="s">
        <v>257</v>
      </c>
    </row>
    <row r="348" spans="1:7">
      <c r="A348" t="s">
        <v>790</v>
      </c>
      <c r="B348">
        <v>238000</v>
      </c>
      <c r="C348">
        <v>8.6199999999999992</v>
      </c>
      <c r="D348" t="s">
        <v>1288</v>
      </c>
      <c r="E348" t="s">
        <v>408</v>
      </c>
      <c r="F348">
        <v>2024</v>
      </c>
      <c r="G348" t="s">
        <v>257</v>
      </c>
    </row>
    <row r="349" spans="1:7">
      <c r="A349" t="s">
        <v>792</v>
      </c>
      <c r="B349">
        <v>750</v>
      </c>
      <c r="C349">
        <v>6.91</v>
      </c>
      <c r="D349" t="s">
        <v>237</v>
      </c>
      <c r="E349" t="s">
        <v>793</v>
      </c>
      <c r="F349">
        <v>2024</v>
      </c>
      <c r="G349" t="s">
        <v>257</v>
      </c>
    </row>
    <row r="350" spans="1:7">
      <c r="A350" t="s">
        <v>794</v>
      </c>
      <c r="B350">
        <v>464</v>
      </c>
      <c r="C350">
        <v>6.02</v>
      </c>
      <c r="D350" t="s">
        <v>57</v>
      </c>
      <c r="E350" t="s">
        <v>796</v>
      </c>
      <c r="F350">
        <v>2024</v>
      </c>
      <c r="G350" t="s">
        <v>257</v>
      </c>
    </row>
    <row r="351" spans="1:7">
      <c r="A351" t="s">
        <v>797</v>
      </c>
      <c r="B351">
        <v>445</v>
      </c>
      <c r="C351">
        <v>5.84</v>
      </c>
      <c r="D351" t="s">
        <v>57</v>
      </c>
      <c r="E351" t="s">
        <v>796</v>
      </c>
      <c r="F351">
        <v>2024</v>
      </c>
      <c r="G351" t="s">
        <v>257</v>
      </c>
    </row>
    <row r="352" spans="1:7">
      <c r="A352" t="s">
        <v>798</v>
      </c>
      <c r="B352">
        <v>953000</v>
      </c>
      <c r="C352">
        <v>8.42</v>
      </c>
      <c r="D352" t="s">
        <v>183</v>
      </c>
      <c r="E352" t="s">
        <v>419</v>
      </c>
      <c r="F352">
        <v>2024</v>
      </c>
      <c r="G352" t="s">
        <v>561</v>
      </c>
    </row>
    <row r="353" spans="1:7">
      <c r="A353" t="s">
        <v>799</v>
      </c>
      <c r="B353">
        <v>291000</v>
      </c>
      <c r="C353">
        <v>8.67</v>
      </c>
      <c r="D353" t="s">
        <v>183</v>
      </c>
      <c r="E353" t="s">
        <v>801</v>
      </c>
      <c r="F353">
        <v>2024</v>
      </c>
      <c r="G353" t="s">
        <v>561</v>
      </c>
    </row>
    <row r="354" spans="1:7">
      <c r="A354" t="s">
        <v>802</v>
      </c>
      <c r="B354">
        <v>244000</v>
      </c>
      <c r="C354">
        <v>5.67</v>
      </c>
      <c r="D354" t="s">
        <v>1283</v>
      </c>
      <c r="E354" t="s">
        <v>804</v>
      </c>
      <c r="F354">
        <v>2024</v>
      </c>
      <c r="G354" t="s">
        <v>561</v>
      </c>
    </row>
    <row r="355" spans="1:7">
      <c r="A355" t="s">
        <v>805</v>
      </c>
      <c r="B355">
        <v>198000</v>
      </c>
      <c r="C355">
        <v>6.87</v>
      </c>
      <c r="D355" t="s">
        <v>183</v>
      </c>
      <c r="E355" t="s">
        <v>150</v>
      </c>
      <c r="F355">
        <v>2024</v>
      </c>
      <c r="G355" t="s">
        <v>561</v>
      </c>
    </row>
    <row r="356" spans="1:7">
      <c r="A356" t="s">
        <v>807</v>
      </c>
      <c r="B356">
        <v>167000</v>
      </c>
      <c r="C356">
        <v>7.98</v>
      </c>
      <c r="D356" t="s">
        <v>183</v>
      </c>
      <c r="E356" t="s">
        <v>13</v>
      </c>
      <c r="F356">
        <v>2024</v>
      </c>
      <c r="G356" t="s">
        <v>561</v>
      </c>
    </row>
    <row r="357" spans="1:7">
      <c r="A357" t="s">
        <v>809</v>
      </c>
      <c r="B357">
        <v>165000</v>
      </c>
      <c r="C357">
        <v>7.07</v>
      </c>
      <c r="D357" t="s">
        <v>183</v>
      </c>
      <c r="E357" t="s">
        <v>810</v>
      </c>
      <c r="F357">
        <v>2024</v>
      </c>
      <c r="G357" t="s">
        <v>561</v>
      </c>
    </row>
    <row r="358" spans="1:7">
      <c r="A358" t="s">
        <v>811</v>
      </c>
      <c r="B358">
        <v>153000</v>
      </c>
      <c r="C358">
        <v>7.18</v>
      </c>
      <c r="D358" t="s">
        <v>1280</v>
      </c>
      <c r="E358" t="s">
        <v>35</v>
      </c>
      <c r="F358">
        <v>2024</v>
      </c>
      <c r="G358" t="s">
        <v>561</v>
      </c>
    </row>
    <row r="359" spans="1:7">
      <c r="A359" t="s">
        <v>813</v>
      </c>
      <c r="B359">
        <v>138000</v>
      </c>
      <c r="C359">
        <v>6.88</v>
      </c>
      <c r="D359" t="s">
        <v>183</v>
      </c>
      <c r="E359" t="s">
        <v>697</v>
      </c>
      <c r="F359">
        <v>2024</v>
      </c>
      <c r="G359" t="s">
        <v>561</v>
      </c>
    </row>
    <row r="360" spans="1:7">
      <c r="A360" t="s">
        <v>814</v>
      </c>
      <c r="B360">
        <v>122000</v>
      </c>
      <c r="C360">
        <v>7.12</v>
      </c>
      <c r="D360" t="s">
        <v>1280</v>
      </c>
      <c r="E360" t="s">
        <v>67</v>
      </c>
      <c r="F360">
        <v>2024</v>
      </c>
      <c r="G360" t="s">
        <v>561</v>
      </c>
    </row>
    <row r="361" spans="1:7">
      <c r="A361" t="s">
        <v>816</v>
      </c>
      <c r="B361">
        <v>8700</v>
      </c>
      <c r="C361">
        <v>6.22</v>
      </c>
      <c r="D361" t="s">
        <v>183</v>
      </c>
      <c r="E361" t="s">
        <v>817</v>
      </c>
      <c r="F361">
        <v>2024</v>
      </c>
      <c r="G361" t="s">
        <v>561</v>
      </c>
    </row>
    <row r="362" spans="1:7">
      <c r="A362" t="s">
        <v>818</v>
      </c>
      <c r="B362">
        <v>848</v>
      </c>
      <c r="C362">
        <v>7.11</v>
      </c>
      <c r="D362" t="s">
        <v>183</v>
      </c>
      <c r="E362" t="s">
        <v>401</v>
      </c>
      <c r="F362">
        <v>2024</v>
      </c>
      <c r="G362" t="s">
        <v>561</v>
      </c>
    </row>
    <row r="363" spans="1:7">
      <c r="A363" t="s">
        <v>819</v>
      </c>
      <c r="B363">
        <v>804</v>
      </c>
      <c r="C363">
        <v>6.72</v>
      </c>
      <c r="D363" t="s">
        <v>183</v>
      </c>
      <c r="E363" t="s">
        <v>591</v>
      </c>
      <c r="F363">
        <v>2024</v>
      </c>
      <c r="G363" t="s">
        <v>561</v>
      </c>
    </row>
    <row r="364" spans="1:7">
      <c r="A364" t="s">
        <v>821</v>
      </c>
      <c r="B364">
        <v>786</v>
      </c>
      <c r="C364">
        <v>6.79</v>
      </c>
      <c r="D364" t="s">
        <v>183</v>
      </c>
      <c r="E364" t="s">
        <v>212</v>
      </c>
      <c r="F364">
        <v>2024</v>
      </c>
      <c r="G364" t="s">
        <v>561</v>
      </c>
    </row>
    <row r="365" spans="1:7">
      <c r="A365" t="s">
        <v>823</v>
      </c>
      <c r="B365">
        <v>768</v>
      </c>
      <c r="C365">
        <v>6.91</v>
      </c>
      <c r="D365" t="s">
        <v>183</v>
      </c>
      <c r="E365" t="s">
        <v>824</v>
      </c>
      <c r="F365">
        <v>2024</v>
      </c>
      <c r="G365" t="s">
        <v>561</v>
      </c>
    </row>
    <row r="366" spans="1:7">
      <c r="A366" t="s">
        <v>825</v>
      </c>
      <c r="B366">
        <v>696</v>
      </c>
      <c r="C366">
        <v>7.21</v>
      </c>
      <c r="D366" t="s">
        <v>183</v>
      </c>
      <c r="E366" t="s">
        <v>200</v>
      </c>
      <c r="F366">
        <v>2024</v>
      </c>
      <c r="G366" t="s">
        <v>561</v>
      </c>
    </row>
    <row r="367" spans="1:7">
      <c r="A367" t="s">
        <v>826</v>
      </c>
      <c r="B367">
        <v>655</v>
      </c>
      <c r="C367">
        <v>5.58</v>
      </c>
      <c r="D367" t="s">
        <v>167</v>
      </c>
      <c r="E367" t="s">
        <v>381</v>
      </c>
      <c r="F367">
        <v>2024</v>
      </c>
      <c r="G367" t="s">
        <v>561</v>
      </c>
    </row>
    <row r="368" spans="1:7">
      <c r="A368" t="s">
        <v>827</v>
      </c>
      <c r="B368">
        <v>644</v>
      </c>
      <c r="C368">
        <v>6.92</v>
      </c>
      <c r="D368" t="s">
        <v>183</v>
      </c>
      <c r="E368" t="s">
        <v>828</v>
      </c>
      <c r="F368">
        <v>2024</v>
      </c>
      <c r="G368" t="s">
        <v>561</v>
      </c>
    </row>
    <row r="369" spans="1:7">
      <c r="A369" t="s">
        <v>829</v>
      </c>
      <c r="B369">
        <v>552</v>
      </c>
      <c r="C369">
        <v>6.8</v>
      </c>
      <c r="D369" t="s">
        <v>1046</v>
      </c>
      <c r="E369" t="s">
        <v>401</v>
      </c>
      <c r="F369">
        <v>2024</v>
      </c>
      <c r="G369" t="s">
        <v>561</v>
      </c>
    </row>
    <row r="370" spans="1:7">
      <c r="A370" t="s">
        <v>831</v>
      </c>
      <c r="B370">
        <v>834</v>
      </c>
      <c r="C370">
        <v>6.79</v>
      </c>
      <c r="D370" t="s">
        <v>167</v>
      </c>
      <c r="E370" t="s">
        <v>611</v>
      </c>
      <c r="F370">
        <v>2024</v>
      </c>
      <c r="G370" t="s">
        <v>561</v>
      </c>
    </row>
    <row r="371" spans="1:7">
      <c r="A371" t="s">
        <v>833</v>
      </c>
      <c r="B371">
        <v>585</v>
      </c>
      <c r="C371">
        <v>6.05</v>
      </c>
      <c r="D371" t="s">
        <v>485</v>
      </c>
      <c r="E371" t="s">
        <v>124</v>
      </c>
      <c r="F371">
        <v>2024</v>
      </c>
      <c r="G371" t="s">
        <v>561</v>
      </c>
    </row>
    <row r="372" spans="1:7">
      <c r="A372" t="s">
        <v>834</v>
      </c>
      <c r="B372">
        <v>844000</v>
      </c>
      <c r="C372">
        <v>8.82</v>
      </c>
      <c r="D372" t="s">
        <v>183</v>
      </c>
      <c r="E372" t="s">
        <v>13</v>
      </c>
      <c r="F372">
        <v>2023</v>
      </c>
      <c r="G372" t="s">
        <v>10</v>
      </c>
    </row>
    <row r="373" spans="1:7">
      <c r="A373" t="s">
        <v>836</v>
      </c>
      <c r="B373">
        <v>505000</v>
      </c>
      <c r="C373">
        <v>7.71</v>
      </c>
      <c r="D373" t="s">
        <v>167</v>
      </c>
      <c r="E373" t="s">
        <v>449</v>
      </c>
      <c r="F373">
        <v>2023</v>
      </c>
      <c r="G373" t="s">
        <v>10</v>
      </c>
    </row>
    <row r="374" spans="1:7">
      <c r="A374" t="s">
        <v>837</v>
      </c>
      <c r="B374">
        <v>434000</v>
      </c>
      <c r="C374">
        <v>7.86</v>
      </c>
      <c r="D374" t="s">
        <v>1280</v>
      </c>
      <c r="E374" t="s">
        <v>70</v>
      </c>
      <c r="F374">
        <v>2023</v>
      </c>
      <c r="G374" t="s">
        <v>10</v>
      </c>
    </row>
    <row r="375" spans="1:7">
      <c r="A375" t="s">
        <v>838</v>
      </c>
      <c r="B375">
        <v>426000</v>
      </c>
      <c r="C375">
        <v>7.62</v>
      </c>
      <c r="D375" t="s">
        <v>183</v>
      </c>
      <c r="E375" t="s">
        <v>159</v>
      </c>
      <c r="F375">
        <v>2023</v>
      </c>
      <c r="G375" t="s">
        <v>10</v>
      </c>
    </row>
    <row r="376" spans="1:7">
      <c r="A376" t="s">
        <v>840</v>
      </c>
      <c r="B376">
        <v>405000</v>
      </c>
      <c r="C376">
        <v>6.83</v>
      </c>
      <c r="D376" t="s">
        <v>183</v>
      </c>
      <c r="E376" t="s">
        <v>110</v>
      </c>
      <c r="F376">
        <v>2023</v>
      </c>
      <c r="G376" t="s">
        <v>10</v>
      </c>
    </row>
    <row r="377" spans="1:7">
      <c r="A377" t="s">
        <v>842</v>
      </c>
      <c r="B377">
        <v>357000</v>
      </c>
      <c r="C377">
        <v>8.42</v>
      </c>
      <c r="D377" t="s">
        <v>183</v>
      </c>
      <c r="E377" t="s">
        <v>647</v>
      </c>
      <c r="F377">
        <v>2023</v>
      </c>
      <c r="G377" t="s">
        <v>10</v>
      </c>
    </row>
    <row r="378" spans="1:7">
      <c r="A378" t="s">
        <v>844</v>
      </c>
      <c r="B378">
        <v>353000</v>
      </c>
      <c r="C378">
        <v>8.1</v>
      </c>
      <c r="D378" t="s">
        <v>183</v>
      </c>
      <c r="E378" t="s">
        <v>250</v>
      </c>
      <c r="F378">
        <v>2023</v>
      </c>
      <c r="G378" t="s">
        <v>10</v>
      </c>
    </row>
    <row r="379" spans="1:7">
      <c r="A379" t="s">
        <v>846</v>
      </c>
      <c r="B379">
        <v>336000</v>
      </c>
      <c r="C379">
        <v>7.56</v>
      </c>
      <c r="D379" t="s">
        <v>183</v>
      </c>
      <c r="E379" t="s">
        <v>27</v>
      </c>
      <c r="F379">
        <v>2023</v>
      </c>
      <c r="G379" t="s">
        <v>10</v>
      </c>
    </row>
    <row r="380" spans="1:7">
      <c r="A380" t="s">
        <v>847</v>
      </c>
      <c r="B380">
        <v>334000</v>
      </c>
      <c r="C380">
        <v>7.64</v>
      </c>
      <c r="D380" t="s">
        <v>1046</v>
      </c>
      <c r="E380" t="s">
        <v>13</v>
      </c>
      <c r="F380">
        <v>2023</v>
      </c>
      <c r="G380" t="s">
        <v>10</v>
      </c>
    </row>
    <row r="381" spans="1:7">
      <c r="A381" t="s">
        <v>848</v>
      </c>
      <c r="B381">
        <v>333000</v>
      </c>
      <c r="C381">
        <v>7.44</v>
      </c>
      <c r="D381" t="s">
        <v>167</v>
      </c>
      <c r="E381" t="s">
        <v>104</v>
      </c>
      <c r="F381">
        <v>2023</v>
      </c>
      <c r="G381" t="s">
        <v>10</v>
      </c>
    </row>
    <row r="382" spans="1:7">
      <c r="A382" t="s">
        <v>850</v>
      </c>
      <c r="B382">
        <v>292000</v>
      </c>
      <c r="C382">
        <v>8.26</v>
      </c>
      <c r="D382" t="s">
        <v>183</v>
      </c>
      <c r="E382" t="s">
        <v>307</v>
      </c>
      <c r="F382">
        <v>2023</v>
      </c>
      <c r="G382" t="s">
        <v>10</v>
      </c>
    </row>
    <row r="383" spans="1:7">
      <c r="A383" t="s">
        <v>851</v>
      </c>
      <c r="B383">
        <v>273000</v>
      </c>
      <c r="C383">
        <v>7.22</v>
      </c>
      <c r="D383" t="s">
        <v>183</v>
      </c>
      <c r="E383" t="s">
        <v>110</v>
      </c>
      <c r="F383">
        <v>2023</v>
      </c>
      <c r="G383" t="s">
        <v>10</v>
      </c>
    </row>
    <row r="384" spans="1:7">
      <c r="A384" t="s">
        <v>853</v>
      </c>
      <c r="B384">
        <v>254000</v>
      </c>
      <c r="C384">
        <v>7.54</v>
      </c>
      <c r="D384" t="s">
        <v>167</v>
      </c>
      <c r="E384" t="s">
        <v>854</v>
      </c>
      <c r="F384">
        <v>2023</v>
      </c>
      <c r="G384" t="s">
        <v>10</v>
      </c>
    </row>
    <row r="385" spans="1:7">
      <c r="A385" t="s">
        <v>855</v>
      </c>
      <c r="B385">
        <v>234000</v>
      </c>
      <c r="C385">
        <v>7.82</v>
      </c>
      <c r="D385" t="s">
        <v>183</v>
      </c>
      <c r="E385" t="s">
        <v>52</v>
      </c>
      <c r="F385">
        <v>2023</v>
      </c>
      <c r="G385" t="s">
        <v>10</v>
      </c>
    </row>
    <row r="386" spans="1:7">
      <c r="A386" t="s">
        <v>856</v>
      </c>
      <c r="B386">
        <v>229000</v>
      </c>
      <c r="C386">
        <v>7.46</v>
      </c>
      <c r="D386" t="s">
        <v>57</v>
      </c>
      <c r="E386" t="s">
        <v>113</v>
      </c>
      <c r="F386">
        <v>2023</v>
      </c>
      <c r="G386" t="s">
        <v>10</v>
      </c>
    </row>
    <row r="387" spans="1:7">
      <c r="A387" t="s">
        <v>858</v>
      </c>
      <c r="B387">
        <v>226000</v>
      </c>
      <c r="C387">
        <v>7.37</v>
      </c>
      <c r="D387" t="s">
        <v>1046</v>
      </c>
      <c r="E387" t="s">
        <v>354</v>
      </c>
      <c r="F387">
        <v>2023</v>
      </c>
      <c r="G387" t="s">
        <v>10</v>
      </c>
    </row>
    <row r="388" spans="1:7">
      <c r="A388" t="s">
        <v>859</v>
      </c>
      <c r="B388">
        <v>187000</v>
      </c>
      <c r="C388">
        <v>7.36</v>
      </c>
      <c r="D388" t="s">
        <v>1281</v>
      </c>
      <c r="E388" t="s">
        <v>64</v>
      </c>
      <c r="F388">
        <v>2023</v>
      </c>
      <c r="G388" t="s">
        <v>10</v>
      </c>
    </row>
    <row r="389" spans="1:7">
      <c r="A389" t="s">
        <v>861</v>
      </c>
      <c r="B389">
        <v>178000</v>
      </c>
      <c r="C389">
        <v>6.56</v>
      </c>
      <c r="D389" t="s">
        <v>183</v>
      </c>
      <c r="E389" t="s">
        <v>312</v>
      </c>
      <c r="F389">
        <v>2023</v>
      </c>
      <c r="G389" t="s">
        <v>10</v>
      </c>
    </row>
    <row r="390" spans="1:7">
      <c r="A390" t="s">
        <v>863</v>
      </c>
      <c r="B390">
        <v>152000</v>
      </c>
      <c r="C390">
        <v>7.49</v>
      </c>
      <c r="D390" t="s">
        <v>1046</v>
      </c>
      <c r="E390" t="s">
        <v>307</v>
      </c>
      <c r="F390">
        <v>2023</v>
      </c>
      <c r="G390" t="s">
        <v>10</v>
      </c>
    </row>
    <row r="391" spans="1:7">
      <c r="A391" t="s">
        <v>865</v>
      </c>
      <c r="B391">
        <v>142000</v>
      </c>
      <c r="C391">
        <v>6.81</v>
      </c>
      <c r="D391" t="s">
        <v>57</v>
      </c>
      <c r="E391" t="s">
        <v>121</v>
      </c>
      <c r="F391">
        <v>2023</v>
      </c>
      <c r="G391" t="s">
        <v>10</v>
      </c>
    </row>
    <row r="392" spans="1:7">
      <c r="A392" t="s">
        <v>867</v>
      </c>
      <c r="B392">
        <v>929000</v>
      </c>
      <c r="C392">
        <v>5.98</v>
      </c>
      <c r="D392" t="s">
        <v>183</v>
      </c>
      <c r="E392" t="s">
        <v>869</v>
      </c>
      <c r="F392">
        <v>2023</v>
      </c>
      <c r="G392" t="s">
        <v>10</v>
      </c>
    </row>
    <row r="393" spans="1:7">
      <c r="A393" t="s">
        <v>870</v>
      </c>
      <c r="B393">
        <v>887000</v>
      </c>
      <c r="C393">
        <v>8.1199999999999992</v>
      </c>
      <c r="D393" t="s">
        <v>1043</v>
      </c>
      <c r="E393" t="s">
        <v>256</v>
      </c>
      <c r="F393">
        <v>2023</v>
      </c>
      <c r="G393" t="s">
        <v>10</v>
      </c>
    </row>
    <row r="394" spans="1:7">
      <c r="A394" t="s">
        <v>872</v>
      </c>
      <c r="B394">
        <v>856000</v>
      </c>
      <c r="C394">
        <v>8.2200000000000006</v>
      </c>
      <c r="D394" t="s">
        <v>183</v>
      </c>
      <c r="E394" t="s">
        <v>874</v>
      </c>
      <c r="F394">
        <v>2023</v>
      </c>
      <c r="G394" t="s">
        <v>10</v>
      </c>
    </row>
    <row r="395" spans="1:7">
      <c r="A395" t="s">
        <v>875</v>
      </c>
      <c r="B395">
        <v>814000</v>
      </c>
      <c r="C395">
        <v>8.2200000000000006</v>
      </c>
      <c r="D395" t="s">
        <v>183</v>
      </c>
      <c r="E395" t="s">
        <v>647</v>
      </c>
      <c r="F395">
        <v>2023</v>
      </c>
      <c r="G395" t="s">
        <v>10</v>
      </c>
    </row>
    <row r="396" spans="1:7">
      <c r="A396" t="s">
        <v>876</v>
      </c>
      <c r="B396">
        <v>425000</v>
      </c>
      <c r="C396">
        <v>7.75</v>
      </c>
      <c r="D396" t="s">
        <v>167</v>
      </c>
      <c r="E396" t="s">
        <v>702</v>
      </c>
      <c r="F396">
        <v>2023</v>
      </c>
      <c r="G396" t="s">
        <v>10</v>
      </c>
    </row>
    <row r="397" spans="1:7">
      <c r="A397" t="s">
        <v>878</v>
      </c>
      <c r="B397">
        <v>338000</v>
      </c>
      <c r="C397">
        <v>8.11</v>
      </c>
      <c r="D397" t="s">
        <v>1046</v>
      </c>
      <c r="E397" t="s">
        <v>365</v>
      </c>
      <c r="F397">
        <v>2023</v>
      </c>
      <c r="G397" t="s">
        <v>10</v>
      </c>
    </row>
    <row r="398" spans="1:7">
      <c r="A398" t="s">
        <v>879</v>
      </c>
      <c r="B398">
        <v>113000</v>
      </c>
      <c r="C398">
        <v>7.85</v>
      </c>
      <c r="D398" t="s">
        <v>231</v>
      </c>
      <c r="E398" t="s">
        <v>869</v>
      </c>
      <c r="F398">
        <v>2023</v>
      </c>
      <c r="G398" t="s">
        <v>10</v>
      </c>
    </row>
    <row r="399" spans="1:7">
      <c r="A399" t="s">
        <v>881</v>
      </c>
      <c r="B399">
        <v>8400</v>
      </c>
      <c r="C399">
        <v>7.22</v>
      </c>
      <c r="D399" t="s">
        <v>167</v>
      </c>
      <c r="E399" t="s">
        <v>416</v>
      </c>
      <c r="F399">
        <v>2023</v>
      </c>
      <c r="G399" t="s">
        <v>10</v>
      </c>
    </row>
    <row r="400" spans="1:7">
      <c r="A400" t="s">
        <v>882</v>
      </c>
      <c r="B400">
        <v>796</v>
      </c>
      <c r="C400">
        <v>7.16</v>
      </c>
      <c r="D400" t="s">
        <v>183</v>
      </c>
      <c r="E400" t="s">
        <v>884</v>
      </c>
      <c r="F400">
        <v>2023</v>
      </c>
      <c r="G400" t="s">
        <v>10</v>
      </c>
    </row>
    <row r="401" spans="1:7">
      <c r="A401" t="s">
        <v>885</v>
      </c>
      <c r="B401">
        <v>765</v>
      </c>
      <c r="C401">
        <v>6.69</v>
      </c>
      <c r="D401" t="s">
        <v>183</v>
      </c>
      <c r="E401" t="s">
        <v>588</v>
      </c>
      <c r="F401">
        <v>2023</v>
      </c>
      <c r="G401" t="s">
        <v>10</v>
      </c>
    </row>
    <row r="402" spans="1:7">
      <c r="A402" t="s">
        <v>887</v>
      </c>
      <c r="B402">
        <v>626</v>
      </c>
      <c r="C402">
        <v>6.34</v>
      </c>
      <c r="D402" t="s">
        <v>57</v>
      </c>
      <c r="E402" t="s">
        <v>888</v>
      </c>
      <c r="F402">
        <v>2023</v>
      </c>
      <c r="G402" t="s">
        <v>10</v>
      </c>
    </row>
    <row r="403" spans="1:7">
      <c r="A403" t="s">
        <v>889</v>
      </c>
      <c r="B403">
        <v>624</v>
      </c>
      <c r="C403">
        <v>6.46</v>
      </c>
      <c r="D403" t="s">
        <v>183</v>
      </c>
      <c r="E403" t="s">
        <v>588</v>
      </c>
      <c r="F403">
        <v>2023</v>
      </c>
      <c r="G403" t="s">
        <v>10</v>
      </c>
    </row>
    <row r="404" spans="1:7">
      <c r="A404" t="s">
        <v>890</v>
      </c>
      <c r="B404">
        <v>511</v>
      </c>
      <c r="C404">
        <v>5.6</v>
      </c>
      <c r="D404" t="s">
        <v>485</v>
      </c>
      <c r="E404" t="s">
        <v>892</v>
      </c>
      <c r="F404">
        <v>2023</v>
      </c>
      <c r="G404" t="s">
        <v>10</v>
      </c>
    </row>
    <row r="405" spans="1:7">
      <c r="A405" t="s">
        <v>893</v>
      </c>
      <c r="B405">
        <v>388</v>
      </c>
      <c r="C405">
        <v>5.88</v>
      </c>
      <c r="D405" t="s">
        <v>237</v>
      </c>
      <c r="E405" t="s">
        <v>895</v>
      </c>
      <c r="F405">
        <v>2023</v>
      </c>
      <c r="G405" t="s">
        <v>10</v>
      </c>
    </row>
    <row r="406" spans="1:7">
      <c r="A406" t="s">
        <v>896</v>
      </c>
      <c r="B406">
        <v>747000</v>
      </c>
      <c r="C406">
        <v>8.1999999999999993</v>
      </c>
      <c r="D406" t="s">
        <v>1046</v>
      </c>
      <c r="E406" t="s">
        <v>748</v>
      </c>
      <c r="F406">
        <v>2023</v>
      </c>
      <c r="G406" t="s">
        <v>420</v>
      </c>
    </row>
    <row r="407" spans="1:7">
      <c r="A407" t="s">
        <v>897</v>
      </c>
      <c r="B407">
        <v>675000</v>
      </c>
      <c r="C407">
        <v>7.7</v>
      </c>
      <c r="D407" t="s">
        <v>167</v>
      </c>
      <c r="E407" t="s">
        <v>899</v>
      </c>
      <c r="F407">
        <v>2023</v>
      </c>
      <c r="G407" t="s">
        <v>420</v>
      </c>
    </row>
    <row r="408" spans="1:7">
      <c r="A408" t="s">
        <v>900</v>
      </c>
      <c r="B408">
        <v>408000</v>
      </c>
      <c r="C408">
        <v>8.6999999999999993</v>
      </c>
      <c r="D408" t="s">
        <v>183</v>
      </c>
      <c r="E408" t="s">
        <v>869</v>
      </c>
      <c r="F408">
        <v>2023</v>
      </c>
      <c r="G408" t="s">
        <v>420</v>
      </c>
    </row>
    <row r="409" spans="1:7">
      <c r="A409" t="s">
        <v>901</v>
      </c>
      <c r="B409">
        <v>380000</v>
      </c>
      <c r="C409">
        <v>7.68</v>
      </c>
      <c r="D409" t="s">
        <v>237</v>
      </c>
      <c r="E409" t="s">
        <v>297</v>
      </c>
      <c r="F409">
        <v>2023</v>
      </c>
      <c r="G409" t="s">
        <v>420</v>
      </c>
    </row>
    <row r="410" spans="1:7">
      <c r="A410" t="s">
        <v>902</v>
      </c>
      <c r="B410">
        <v>257000</v>
      </c>
      <c r="C410">
        <v>7.23</v>
      </c>
      <c r="D410" t="s">
        <v>167</v>
      </c>
      <c r="E410" t="s">
        <v>110</v>
      </c>
      <c r="F410">
        <v>2023</v>
      </c>
      <c r="G410" t="s">
        <v>420</v>
      </c>
    </row>
    <row r="411" spans="1:7">
      <c r="A411" t="s">
        <v>903</v>
      </c>
      <c r="B411">
        <v>220000</v>
      </c>
      <c r="C411">
        <v>6.94</v>
      </c>
      <c r="D411" t="s">
        <v>167</v>
      </c>
      <c r="E411" t="s">
        <v>150</v>
      </c>
      <c r="F411">
        <v>2023</v>
      </c>
      <c r="G411" t="s">
        <v>420</v>
      </c>
    </row>
    <row r="412" spans="1:7">
      <c r="A412" t="s">
        <v>904</v>
      </c>
      <c r="B412">
        <v>184000</v>
      </c>
      <c r="C412">
        <v>7.84</v>
      </c>
      <c r="D412" t="s">
        <v>57</v>
      </c>
      <c r="E412" t="s">
        <v>906</v>
      </c>
      <c r="F412">
        <v>2023</v>
      </c>
      <c r="G412" t="s">
        <v>420</v>
      </c>
    </row>
    <row r="413" spans="1:7">
      <c r="A413" t="s">
        <v>907</v>
      </c>
      <c r="B413">
        <v>176000</v>
      </c>
      <c r="C413">
        <v>6.68</v>
      </c>
      <c r="D413" t="s">
        <v>167</v>
      </c>
      <c r="E413" t="s">
        <v>909</v>
      </c>
      <c r="F413">
        <v>2023</v>
      </c>
      <c r="G413" t="s">
        <v>420</v>
      </c>
    </row>
    <row r="414" spans="1:7">
      <c r="A414" t="s">
        <v>910</v>
      </c>
      <c r="B414">
        <v>128000</v>
      </c>
      <c r="C414">
        <v>7.12</v>
      </c>
      <c r="D414" t="s">
        <v>57</v>
      </c>
      <c r="E414" t="s">
        <v>104</v>
      </c>
      <c r="F414">
        <v>2023</v>
      </c>
      <c r="G414" t="s">
        <v>420</v>
      </c>
    </row>
    <row r="415" spans="1:7">
      <c r="A415" t="s">
        <v>912</v>
      </c>
      <c r="B415">
        <v>124000</v>
      </c>
      <c r="C415">
        <v>6.69</v>
      </c>
      <c r="D415" t="s">
        <v>167</v>
      </c>
      <c r="E415" t="s">
        <v>41</v>
      </c>
      <c r="F415">
        <v>2023</v>
      </c>
      <c r="G415" t="s">
        <v>420</v>
      </c>
    </row>
    <row r="416" spans="1:7">
      <c r="A416" t="s">
        <v>914</v>
      </c>
      <c r="B416">
        <v>101000</v>
      </c>
      <c r="C416">
        <v>7.63</v>
      </c>
      <c r="D416" t="s">
        <v>167</v>
      </c>
      <c r="E416" t="s">
        <v>307</v>
      </c>
      <c r="F416">
        <v>2023</v>
      </c>
      <c r="G416" t="s">
        <v>420</v>
      </c>
    </row>
    <row r="417" spans="1:7">
      <c r="A417" t="s">
        <v>916</v>
      </c>
      <c r="B417">
        <v>170000</v>
      </c>
      <c r="C417">
        <v>8.6199999999999992</v>
      </c>
      <c r="D417" t="s">
        <v>237</v>
      </c>
      <c r="E417" t="s">
        <v>918</v>
      </c>
      <c r="F417">
        <v>2023</v>
      </c>
      <c r="G417" t="s">
        <v>420</v>
      </c>
    </row>
    <row r="418" spans="1:7">
      <c r="A418" t="s">
        <v>919</v>
      </c>
      <c r="B418">
        <v>77000</v>
      </c>
      <c r="C418">
        <v>7.77</v>
      </c>
      <c r="D418" t="s">
        <v>167</v>
      </c>
      <c r="E418" t="s">
        <v>619</v>
      </c>
      <c r="F418">
        <v>2023</v>
      </c>
      <c r="G418" t="s">
        <v>420</v>
      </c>
    </row>
    <row r="419" spans="1:7">
      <c r="A419" t="s">
        <v>921</v>
      </c>
      <c r="B419">
        <v>997</v>
      </c>
      <c r="C419">
        <v>6.57</v>
      </c>
      <c r="D419" t="s">
        <v>1282</v>
      </c>
      <c r="E419" t="s">
        <v>372</v>
      </c>
      <c r="F419">
        <v>2023</v>
      </c>
      <c r="G419" t="s">
        <v>420</v>
      </c>
    </row>
    <row r="420" spans="1:7">
      <c r="A420" t="s">
        <v>923</v>
      </c>
      <c r="B420">
        <v>993</v>
      </c>
      <c r="C420">
        <v>6.69</v>
      </c>
      <c r="D420" t="s">
        <v>183</v>
      </c>
      <c r="E420" t="s">
        <v>925</v>
      </c>
      <c r="F420">
        <v>2023</v>
      </c>
      <c r="G420" t="s">
        <v>420</v>
      </c>
    </row>
    <row r="421" spans="1:7">
      <c r="A421" t="s">
        <v>926</v>
      </c>
      <c r="B421">
        <v>978</v>
      </c>
      <c r="C421">
        <v>6.15</v>
      </c>
      <c r="D421" t="s">
        <v>183</v>
      </c>
      <c r="E421" t="s">
        <v>927</v>
      </c>
      <c r="F421">
        <v>2023</v>
      </c>
      <c r="G421" t="s">
        <v>420</v>
      </c>
    </row>
    <row r="422" spans="1:7">
      <c r="A422" t="s">
        <v>928</v>
      </c>
      <c r="B422">
        <v>930</v>
      </c>
      <c r="C422">
        <v>7.08</v>
      </c>
      <c r="D422" t="s">
        <v>183</v>
      </c>
      <c r="E422" t="s">
        <v>404</v>
      </c>
      <c r="F422">
        <v>2023</v>
      </c>
      <c r="G422" t="s">
        <v>420</v>
      </c>
    </row>
    <row r="423" spans="1:7">
      <c r="A423" t="s">
        <v>930</v>
      </c>
      <c r="B423">
        <v>865</v>
      </c>
      <c r="C423">
        <v>5.84</v>
      </c>
      <c r="D423" t="s">
        <v>167</v>
      </c>
      <c r="E423" t="s">
        <v>931</v>
      </c>
      <c r="F423">
        <v>2023</v>
      </c>
      <c r="G423" t="s">
        <v>420</v>
      </c>
    </row>
    <row r="424" spans="1:7">
      <c r="A424" t="s">
        <v>932</v>
      </c>
      <c r="B424">
        <v>754</v>
      </c>
      <c r="C424">
        <v>6.32</v>
      </c>
      <c r="D424" t="s">
        <v>167</v>
      </c>
      <c r="E424" t="s">
        <v>934</v>
      </c>
      <c r="F424">
        <v>2023</v>
      </c>
      <c r="G424" t="s">
        <v>420</v>
      </c>
    </row>
    <row r="425" spans="1:7">
      <c r="A425" t="s">
        <v>935</v>
      </c>
      <c r="B425">
        <v>686</v>
      </c>
      <c r="C425">
        <v>6.24</v>
      </c>
      <c r="D425" t="s">
        <v>183</v>
      </c>
      <c r="E425" t="s">
        <v>401</v>
      </c>
      <c r="F425">
        <v>2023</v>
      </c>
      <c r="G425" t="s">
        <v>420</v>
      </c>
    </row>
    <row r="426" spans="1:7">
      <c r="A426" t="s">
        <v>936</v>
      </c>
      <c r="B426">
        <v>618</v>
      </c>
      <c r="C426">
        <v>6.43</v>
      </c>
      <c r="D426" t="s">
        <v>183</v>
      </c>
      <c r="E426" t="s">
        <v>937</v>
      </c>
      <c r="F426">
        <v>2023</v>
      </c>
      <c r="G426" t="s">
        <v>420</v>
      </c>
    </row>
    <row r="427" spans="1:7">
      <c r="A427" t="s">
        <v>938</v>
      </c>
      <c r="B427">
        <v>565</v>
      </c>
      <c r="C427">
        <v>5.8</v>
      </c>
      <c r="D427" t="s">
        <v>231</v>
      </c>
      <c r="E427" t="s">
        <v>939</v>
      </c>
      <c r="F427">
        <v>2023</v>
      </c>
      <c r="G427" t="s">
        <v>420</v>
      </c>
    </row>
    <row r="428" spans="1:7">
      <c r="A428" t="s">
        <v>940</v>
      </c>
      <c r="B428">
        <v>245000</v>
      </c>
      <c r="C428">
        <v>7.54</v>
      </c>
      <c r="D428" t="s">
        <v>1046</v>
      </c>
      <c r="E428" t="s">
        <v>748</v>
      </c>
      <c r="F428">
        <v>2023</v>
      </c>
      <c r="G428" t="s">
        <v>420</v>
      </c>
    </row>
    <row r="429" spans="1:7">
      <c r="A429" t="s">
        <v>941</v>
      </c>
      <c r="B429">
        <v>1000000</v>
      </c>
      <c r="C429">
        <v>8.5399999999999991</v>
      </c>
      <c r="D429" t="s">
        <v>1288</v>
      </c>
      <c r="E429" t="s">
        <v>21</v>
      </c>
      <c r="F429">
        <v>2023</v>
      </c>
      <c r="G429" t="s">
        <v>257</v>
      </c>
    </row>
    <row r="430" spans="1:7">
      <c r="A430" t="s">
        <v>943</v>
      </c>
      <c r="B430">
        <v>939000</v>
      </c>
      <c r="C430">
        <v>8.09</v>
      </c>
      <c r="D430" t="s">
        <v>183</v>
      </c>
      <c r="E430" t="s">
        <v>13</v>
      </c>
      <c r="F430">
        <v>2023</v>
      </c>
      <c r="G430" t="s">
        <v>257</v>
      </c>
    </row>
    <row r="431" spans="1:7">
      <c r="A431" t="s">
        <v>944</v>
      </c>
      <c r="B431">
        <v>786000</v>
      </c>
      <c r="C431">
        <v>7.61</v>
      </c>
      <c r="D431" t="s">
        <v>183</v>
      </c>
      <c r="E431" t="s">
        <v>27</v>
      </c>
      <c r="F431">
        <v>2023</v>
      </c>
      <c r="G431" t="s">
        <v>257</v>
      </c>
    </row>
    <row r="432" spans="1:7">
      <c r="A432" t="s">
        <v>945</v>
      </c>
      <c r="B432">
        <v>624000</v>
      </c>
      <c r="C432">
        <v>8.2100000000000009</v>
      </c>
      <c r="D432" t="s">
        <v>1046</v>
      </c>
      <c r="E432" t="s">
        <v>429</v>
      </c>
      <c r="F432">
        <v>2023</v>
      </c>
      <c r="G432" t="s">
        <v>257</v>
      </c>
    </row>
    <row r="433" spans="1:7">
      <c r="A433" t="s">
        <v>947</v>
      </c>
      <c r="B433">
        <v>598000</v>
      </c>
      <c r="C433">
        <v>8.15</v>
      </c>
      <c r="D433" t="s">
        <v>1046</v>
      </c>
      <c r="E433" t="s">
        <v>150</v>
      </c>
      <c r="F433">
        <v>2023</v>
      </c>
      <c r="G433" t="s">
        <v>257</v>
      </c>
    </row>
    <row r="434" spans="1:7">
      <c r="A434" t="s">
        <v>948</v>
      </c>
      <c r="B434">
        <v>543000</v>
      </c>
      <c r="C434">
        <v>7.75</v>
      </c>
      <c r="D434" t="s">
        <v>1280</v>
      </c>
      <c r="E434" t="s">
        <v>9</v>
      </c>
      <c r="F434">
        <v>2023</v>
      </c>
      <c r="G434" t="s">
        <v>257</v>
      </c>
    </row>
    <row r="435" spans="1:7">
      <c r="A435" t="s">
        <v>950</v>
      </c>
      <c r="B435">
        <v>437000</v>
      </c>
      <c r="C435">
        <v>8.1999999999999993</v>
      </c>
      <c r="D435" t="s">
        <v>167</v>
      </c>
      <c r="E435" t="s">
        <v>241</v>
      </c>
      <c r="F435">
        <v>2023</v>
      </c>
      <c r="G435" t="s">
        <v>257</v>
      </c>
    </row>
    <row r="436" spans="1:7">
      <c r="A436" t="s">
        <v>951</v>
      </c>
      <c r="B436">
        <v>389000</v>
      </c>
      <c r="C436">
        <v>7.52</v>
      </c>
      <c r="D436" t="s">
        <v>167</v>
      </c>
      <c r="E436" t="s">
        <v>365</v>
      </c>
      <c r="F436">
        <v>2023</v>
      </c>
      <c r="G436" t="s">
        <v>257</v>
      </c>
    </row>
    <row r="437" spans="1:7">
      <c r="A437" t="s">
        <v>952</v>
      </c>
      <c r="B437">
        <v>387000</v>
      </c>
      <c r="C437">
        <v>6.33</v>
      </c>
      <c r="D437" t="s">
        <v>183</v>
      </c>
      <c r="E437" t="s">
        <v>331</v>
      </c>
      <c r="F437">
        <v>2023</v>
      </c>
      <c r="G437" t="s">
        <v>257</v>
      </c>
    </row>
    <row r="438" spans="1:7">
      <c r="A438" t="s">
        <v>953</v>
      </c>
      <c r="B438">
        <v>341000</v>
      </c>
      <c r="C438">
        <v>8.11</v>
      </c>
      <c r="D438" t="s">
        <v>237</v>
      </c>
      <c r="E438" t="s">
        <v>250</v>
      </c>
      <c r="F438">
        <v>2023</v>
      </c>
      <c r="G438" t="s">
        <v>257</v>
      </c>
    </row>
    <row r="439" spans="1:7">
      <c r="A439" t="s">
        <v>955</v>
      </c>
      <c r="B439">
        <v>274000</v>
      </c>
      <c r="C439">
        <v>8.08</v>
      </c>
      <c r="D439" t="s">
        <v>1280</v>
      </c>
      <c r="E439" t="s">
        <v>159</v>
      </c>
      <c r="F439">
        <v>2023</v>
      </c>
      <c r="G439" t="s">
        <v>257</v>
      </c>
    </row>
    <row r="440" spans="1:7">
      <c r="A440" t="s">
        <v>956</v>
      </c>
      <c r="B440">
        <v>218000</v>
      </c>
      <c r="C440">
        <v>7.77</v>
      </c>
      <c r="D440" t="s">
        <v>237</v>
      </c>
      <c r="E440" t="s">
        <v>958</v>
      </c>
      <c r="F440">
        <v>2023</v>
      </c>
      <c r="G440" t="s">
        <v>257</v>
      </c>
    </row>
    <row r="441" spans="1:7">
      <c r="A441" t="s">
        <v>959</v>
      </c>
      <c r="B441">
        <v>196000</v>
      </c>
      <c r="C441">
        <v>7.53</v>
      </c>
      <c r="D441" t="s">
        <v>57</v>
      </c>
      <c r="E441" t="s">
        <v>116</v>
      </c>
      <c r="F441">
        <v>2023</v>
      </c>
      <c r="G441" t="s">
        <v>257</v>
      </c>
    </row>
    <row r="442" spans="1:7">
      <c r="A442" t="s">
        <v>961</v>
      </c>
      <c r="B442">
        <v>174000</v>
      </c>
      <c r="C442">
        <v>6.39</v>
      </c>
      <c r="D442" t="s">
        <v>1046</v>
      </c>
      <c r="E442" t="s">
        <v>307</v>
      </c>
      <c r="F442">
        <v>2023</v>
      </c>
      <c r="G442" t="s">
        <v>257</v>
      </c>
    </row>
    <row r="443" spans="1:7">
      <c r="A443" t="s">
        <v>963</v>
      </c>
      <c r="B443">
        <v>164000</v>
      </c>
      <c r="C443">
        <v>7.32</v>
      </c>
      <c r="D443" t="s">
        <v>167</v>
      </c>
      <c r="E443" t="s">
        <v>965</v>
      </c>
      <c r="F443">
        <v>2023</v>
      </c>
      <c r="G443" t="s">
        <v>257</v>
      </c>
    </row>
    <row r="444" spans="1:7">
      <c r="A444" t="s">
        <v>966</v>
      </c>
      <c r="B444">
        <v>162000</v>
      </c>
      <c r="C444">
        <v>7.4</v>
      </c>
      <c r="D444" t="s">
        <v>1046</v>
      </c>
      <c r="E444" t="s">
        <v>191</v>
      </c>
      <c r="F444">
        <v>2023</v>
      </c>
      <c r="G444" t="s">
        <v>257</v>
      </c>
    </row>
    <row r="445" spans="1:7">
      <c r="A445" t="s">
        <v>967</v>
      </c>
      <c r="B445">
        <v>156000</v>
      </c>
      <c r="C445">
        <v>6.61</v>
      </c>
      <c r="D445" t="s">
        <v>183</v>
      </c>
      <c r="E445" t="s">
        <v>159</v>
      </c>
      <c r="F445">
        <v>2023</v>
      </c>
      <c r="G445" t="s">
        <v>257</v>
      </c>
    </row>
    <row r="446" spans="1:7">
      <c r="A446" t="s">
        <v>969</v>
      </c>
      <c r="B446">
        <v>902</v>
      </c>
      <c r="C446">
        <v>5.71</v>
      </c>
      <c r="D446" t="s">
        <v>167</v>
      </c>
      <c r="E446" t="s">
        <v>181</v>
      </c>
      <c r="F446">
        <v>2023</v>
      </c>
      <c r="G446" t="s">
        <v>257</v>
      </c>
    </row>
    <row r="447" spans="1:7">
      <c r="A447" t="s">
        <v>970</v>
      </c>
      <c r="B447">
        <v>9700</v>
      </c>
      <c r="C447">
        <v>5.79</v>
      </c>
      <c r="D447" t="s">
        <v>167</v>
      </c>
      <c r="E447" t="s">
        <v>381</v>
      </c>
      <c r="F447">
        <v>2023</v>
      </c>
      <c r="G447" t="s">
        <v>257</v>
      </c>
    </row>
    <row r="448" spans="1:7">
      <c r="A448" t="s">
        <v>972</v>
      </c>
      <c r="B448">
        <v>916</v>
      </c>
      <c r="C448">
        <v>6.58</v>
      </c>
      <c r="D448" t="s">
        <v>183</v>
      </c>
      <c r="E448" t="s">
        <v>401</v>
      </c>
      <c r="F448">
        <v>2023</v>
      </c>
      <c r="G448" t="s">
        <v>257</v>
      </c>
    </row>
    <row r="449" spans="1:7">
      <c r="A449" t="s">
        <v>973</v>
      </c>
      <c r="B449">
        <v>837</v>
      </c>
      <c r="C449">
        <v>6.37</v>
      </c>
      <c r="D449" t="s">
        <v>183</v>
      </c>
      <c r="E449" t="s">
        <v>401</v>
      </c>
      <c r="F449">
        <v>2023</v>
      </c>
      <c r="G449" t="s">
        <v>257</v>
      </c>
    </row>
    <row r="450" spans="1:7">
      <c r="A450" t="s">
        <v>975</v>
      </c>
      <c r="B450">
        <v>736</v>
      </c>
      <c r="C450">
        <v>5.75</v>
      </c>
      <c r="D450" t="s">
        <v>1282</v>
      </c>
      <c r="E450" t="s">
        <v>381</v>
      </c>
      <c r="F450">
        <v>2023</v>
      </c>
      <c r="G450" t="s">
        <v>257</v>
      </c>
    </row>
    <row r="451" spans="1:7">
      <c r="A451" t="s">
        <v>976</v>
      </c>
      <c r="B451">
        <v>268000</v>
      </c>
      <c r="C451">
        <v>7.98</v>
      </c>
      <c r="D451" t="s">
        <v>183</v>
      </c>
      <c r="E451" t="s">
        <v>869</v>
      </c>
      <c r="F451">
        <v>2023</v>
      </c>
      <c r="G451" t="s">
        <v>257</v>
      </c>
    </row>
    <row r="452" spans="1:7">
      <c r="A452" t="s">
        <v>978</v>
      </c>
      <c r="B452">
        <v>959</v>
      </c>
      <c r="C452">
        <v>5.31</v>
      </c>
      <c r="D452" t="s">
        <v>167</v>
      </c>
      <c r="E452" t="s">
        <v>381</v>
      </c>
      <c r="F452">
        <v>2023</v>
      </c>
      <c r="G452" t="s">
        <v>257</v>
      </c>
    </row>
    <row r="453" spans="1:7">
      <c r="A453" t="s">
        <v>979</v>
      </c>
      <c r="B453">
        <v>672000</v>
      </c>
      <c r="C453">
        <v>8.06</v>
      </c>
      <c r="D453" t="s">
        <v>183</v>
      </c>
      <c r="E453" t="s">
        <v>564</v>
      </c>
      <c r="F453">
        <v>2023</v>
      </c>
      <c r="G453" t="s">
        <v>561</v>
      </c>
    </row>
    <row r="454" spans="1:7">
      <c r="A454" t="s">
        <v>980</v>
      </c>
      <c r="B454">
        <v>528000</v>
      </c>
      <c r="C454">
        <v>8.25</v>
      </c>
      <c r="D454" t="s">
        <v>183</v>
      </c>
      <c r="E454" t="s">
        <v>874</v>
      </c>
      <c r="F454">
        <v>2023</v>
      </c>
      <c r="G454" t="s">
        <v>561</v>
      </c>
    </row>
    <row r="455" spans="1:7">
      <c r="A455" t="s">
        <v>981</v>
      </c>
      <c r="B455">
        <v>520000</v>
      </c>
      <c r="C455">
        <v>7.08</v>
      </c>
      <c r="D455" t="s">
        <v>183</v>
      </c>
      <c r="E455" t="s">
        <v>297</v>
      </c>
      <c r="F455">
        <v>2023</v>
      </c>
      <c r="G455" t="s">
        <v>561</v>
      </c>
    </row>
    <row r="456" spans="1:7">
      <c r="A456" t="s">
        <v>982</v>
      </c>
      <c r="B456">
        <v>423000</v>
      </c>
      <c r="C456">
        <v>8.3000000000000007</v>
      </c>
      <c r="D456" t="s">
        <v>1046</v>
      </c>
      <c r="E456" t="s">
        <v>150</v>
      </c>
      <c r="F456">
        <v>2023</v>
      </c>
      <c r="G456" t="s">
        <v>561</v>
      </c>
    </row>
    <row r="457" spans="1:7">
      <c r="A457" t="s">
        <v>983</v>
      </c>
      <c r="B457">
        <v>411000</v>
      </c>
      <c r="C457">
        <v>7.21</v>
      </c>
      <c r="D457" t="s">
        <v>183</v>
      </c>
      <c r="E457" t="s">
        <v>159</v>
      </c>
      <c r="F457">
        <v>2023</v>
      </c>
      <c r="G457" t="s">
        <v>561</v>
      </c>
    </row>
    <row r="458" spans="1:7">
      <c r="A458" t="s">
        <v>985</v>
      </c>
      <c r="B458">
        <v>326000</v>
      </c>
      <c r="C458">
        <v>7.68</v>
      </c>
      <c r="D458" t="s">
        <v>167</v>
      </c>
      <c r="E458" t="s">
        <v>289</v>
      </c>
      <c r="F458">
        <v>2023</v>
      </c>
      <c r="G458" t="s">
        <v>561</v>
      </c>
    </row>
    <row r="459" spans="1:7">
      <c r="A459" t="s">
        <v>986</v>
      </c>
      <c r="B459">
        <v>270000</v>
      </c>
      <c r="C459">
        <v>7.81</v>
      </c>
      <c r="D459" t="s">
        <v>183</v>
      </c>
      <c r="E459" t="s">
        <v>159</v>
      </c>
      <c r="F459">
        <v>2023</v>
      </c>
      <c r="G459" t="s">
        <v>561</v>
      </c>
    </row>
    <row r="460" spans="1:7">
      <c r="A460" t="s">
        <v>987</v>
      </c>
      <c r="B460">
        <v>255000</v>
      </c>
      <c r="C460">
        <v>6.72</v>
      </c>
      <c r="D460" t="s">
        <v>183</v>
      </c>
      <c r="E460" t="s">
        <v>75</v>
      </c>
      <c r="F460">
        <v>2023</v>
      </c>
      <c r="G460" t="s">
        <v>561</v>
      </c>
    </row>
    <row r="461" spans="1:7">
      <c r="A461" t="s">
        <v>988</v>
      </c>
      <c r="B461">
        <v>230000</v>
      </c>
      <c r="C461">
        <v>6.75</v>
      </c>
      <c r="D461" t="s">
        <v>1280</v>
      </c>
      <c r="E461" t="s">
        <v>89</v>
      </c>
      <c r="F461">
        <v>2023</v>
      </c>
      <c r="G461" t="s">
        <v>561</v>
      </c>
    </row>
    <row r="462" spans="1:7">
      <c r="A462" t="s">
        <v>989</v>
      </c>
      <c r="B462">
        <v>177000</v>
      </c>
      <c r="C462">
        <v>6.21</v>
      </c>
      <c r="D462" t="s">
        <v>183</v>
      </c>
      <c r="E462" t="s">
        <v>643</v>
      </c>
      <c r="F462">
        <v>2023</v>
      </c>
      <c r="G462" t="s">
        <v>561</v>
      </c>
    </row>
    <row r="463" spans="1:7">
      <c r="A463" t="s">
        <v>991</v>
      </c>
      <c r="B463">
        <v>145000</v>
      </c>
      <c r="C463">
        <v>7.44</v>
      </c>
      <c r="D463" t="s">
        <v>183</v>
      </c>
      <c r="E463" t="s">
        <v>993</v>
      </c>
      <c r="F463">
        <v>2023</v>
      </c>
      <c r="G463" t="s">
        <v>561</v>
      </c>
    </row>
    <row r="464" spans="1:7">
      <c r="A464" t="s">
        <v>994</v>
      </c>
      <c r="B464">
        <v>248000</v>
      </c>
      <c r="C464">
        <v>8.44</v>
      </c>
      <c r="D464" t="s">
        <v>183</v>
      </c>
      <c r="E464" t="s">
        <v>996</v>
      </c>
      <c r="F464">
        <v>2023</v>
      </c>
      <c r="G464" t="s">
        <v>561</v>
      </c>
    </row>
    <row r="465" spans="1:7">
      <c r="A465" t="s">
        <v>997</v>
      </c>
      <c r="B465">
        <v>973</v>
      </c>
      <c r="C465">
        <v>6.81</v>
      </c>
      <c r="D465" t="s">
        <v>183</v>
      </c>
      <c r="E465" t="s">
        <v>998</v>
      </c>
      <c r="F465">
        <v>2023</v>
      </c>
      <c r="G465" t="s">
        <v>561</v>
      </c>
    </row>
    <row r="466" spans="1:7">
      <c r="A466" t="s">
        <v>999</v>
      </c>
      <c r="B466">
        <v>950</v>
      </c>
      <c r="C466">
        <v>6.67</v>
      </c>
      <c r="D466" t="s">
        <v>1282</v>
      </c>
      <c r="E466" t="s">
        <v>372</v>
      </c>
      <c r="F466">
        <v>2023</v>
      </c>
      <c r="G466" t="s">
        <v>561</v>
      </c>
    </row>
    <row r="467" spans="1:7">
      <c r="A467" t="s">
        <v>1000</v>
      </c>
      <c r="B467">
        <v>770</v>
      </c>
      <c r="C467">
        <v>7.09</v>
      </c>
      <c r="D467" t="s">
        <v>183</v>
      </c>
      <c r="E467" t="s">
        <v>397</v>
      </c>
      <c r="F467">
        <v>2023</v>
      </c>
      <c r="G467" t="s">
        <v>561</v>
      </c>
    </row>
    <row r="468" spans="1:7">
      <c r="A468" t="s">
        <v>1001</v>
      </c>
      <c r="B468">
        <v>691</v>
      </c>
      <c r="C468">
        <v>6.23</v>
      </c>
      <c r="D468" t="s">
        <v>1046</v>
      </c>
      <c r="E468" t="s">
        <v>1002</v>
      </c>
      <c r="F468">
        <v>2023</v>
      </c>
      <c r="G468" t="s">
        <v>561</v>
      </c>
    </row>
    <row r="469" spans="1:7">
      <c r="A469" t="s">
        <v>1003</v>
      </c>
      <c r="B469">
        <v>645</v>
      </c>
      <c r="C469">
        <v>6.59</v>
      </c>
      <c r="D469" t="s">
        <v>183</v>
      </c>
      <c r="E469" t="s">
        <v>1004</v>
      </c>
      <c r="F469">
        <v>2023</v>
      </c>
      <c r="G469" t="s">
        <v>561</v>
      </c>
    </row>
    <row r="470" spans="1:7">
      <c r="A470" t="s">
        <v>1005</v>
      </c>
      <c r="B470">
        <v>637</v>
      </c>
      <c r="C470">
        <v>5.73</v>
      </c>
      <c r="D470" t="s">
        <v>167</v>
      </c>
      <c r="E470" t="s">
        <v>381</v>
      </c>
      <c r="F470">
        <v>2023</v>
      </c>
      <c r="G470" t="s">
        <v>561</v>
      </c>
    </row>
    <row r="471" spans="1:7">
      <c r="A471" t="s">
        <v>1007</v>
      </c>
      <c r="B471">
        <v>634</v>
      </c>
      <c r="C471">
        <v>5.98</v>
      </c>
      <c r="D471" t="s">
        <v>167</v>
      </c>
      <c r="E471" t="s">
        <v>110</v>
      </c>
      <c r="F471">
        <v>2023</v>
      </c>
      <c r="G471" t="s">
        <v>561</v>
      </c>
    </row>
    <row r="472" spans="1:7">
      <c r="A472" t="s">
        <v>1008</v>
      </c>
      <c r="B472">
        <v>609</v>
      </c>
      <c r="C472">
        <v>6.57</v>
      </c>
      <c r="D472" t="s">
        <v>183</v>
      </c>
      <c r="E472" t="s">
        <v>397</v>
      </c>
      <c r="F472">
        <v>2023</v>
      </c>
      <c r="G472" t="s">
        <v>561</v>
      </c>
    </row>
    <row r="473" spans="1:7">
      <c r="A473" t="s">
        <v>1010</v>
      </c>
      <c r="B473">
        <v>462</v>
      </c>
      <c r="C473">
        <v>6.98</v>
      </c>
      <c r="D473" t="s">
        <v>183</v>
      </c>
      <c r="E473" t="s">
        <v>884</v>
      </c>
      <c r="F473">
        <v>2023</v>
      </c>
      <c r="G473" t="s">
        <v>561</v>
      </c>
    </row>
    <row r="474" spans="1:7">
      <c r="A474" t="s">
        <v>1011</v>
      </c>
      <c r="B474">
        <v>461</v>
      </c>
      <c r="C474">
        <v>6.29</v>
      </c>
      <c r="D474" t="s">
        <v>167</v>
      </c>
      <c r="E474" t="s">
        <v>1012</v>
      </c>
      <c r="F474">
        <v>2023</v>
      </c>
      <c r="G474" t="s">
        <v>561</v>
      </c>
    </row>
    <row r="475" spans="1:7">
      <c r="A475" t="s">
        <v>1013</v>
      </c>
      <c r="B475">
        <v>247000</v>
      </c>
      <c r="C475">
        <v>8.1</v>
      </c>
      <c r="D475" t="s">
        <v>183</v>
      </c>
      <c r="E475" t="s">
        <v>564</v>
      </c>
      <c r="F475">
        <v>2023</v>
      </c>
      <c r="G475" t="s">
        <v>561</v>
      </c>
    </row>
    <row r="476" spans="1:7">
      <c r="A476" t="s">
        <v>1014</v>
      </c>
      <c r="B476">
        <v>1700000</v>
      </c>
      <c r="C476">
        <v>8.6999999999999993</v>
      </c>
      <c r="D476" t="s">
        <v>183</v>
      </c>
      <c r="E476" t="s">
        <v>498</v>
      </c>
      <c r="F476">
        <v>2022</v>
      </c>
      <c r="G476" t="s">
        <v>10</v>
      </c>
    </row>
    <row r="477" spans="1:7">
      <c r="A477" t="s">
        <v>1015</v>
      </c>
      <c r="B477">
        <v>1500000</v>
      </c>
      <c r="C477">
        <v>8.77</v>
      </c>
      <c r="D477" t="s">
        <v>183</v>
      </c>
      <c r="E477" t="s">
        <v>13</v>
      </c>
      <c r="F477">
        <v>2022</v>
      </c>
      <c r="G477" t="s">
        <v>10</v>
      </c>
    </row>
    <row r="478" spans="1:7">
      <c r="A478" t="s">
        <v>1017</v>
      </c>
      <c r="B478">
        <v>1300000</v>
      </c>
      <c r="C478">
        <v>8.1300000000000008</v>
      </c>
      <c r="D478" t="s">
        <v>1280</v>
      </c>
      <c r="E478" t="s">
        <v>300</v>
      </c>
      <c r="F478">
        <v>2022</v>
      </c>
      <c r="G478" t="s">
        <v>10</v>
      </c>
    </row>
    <row r="479" spans="1:7">
      <c r="A479" t="s">
        <v>1018</v>
      </c>
      <c r="B479">
        <v>459000</v>
      </c>
      <c r="C479">
        <v>7.13</v>
      </c>
      <c r="D479" t="s">
        <v>183</v>
      </c>
      <c r="E479" t="s">
        <v>1019</v>
      </c>
      <c r="F479">
        <v>2022</v>
      </c>
      <c r="G479" t="s">
        <v>10</v>
      </c>
    </row>
    <row r="480" spans="1:7">
      <c r="A480" t="s">
        <v>1020</v>
      </c>
      <c r="B480">
        <v>343000</v>
      </c>
      <c r="C480">
        <v>8.19</v>
      </c>
      <c r="D480" t="s">
        <v>183</v>
      </c>
      <c r="E480" t="s">
        <v>647</v>
      </c>
      <c r="F480">
        <v>2022</v>
      </c>
      <c r="G480" t="s">
        <v>10</v>
      </c>
    </row>
    <row r="481" spans="1:7">
      <c r="A481" t="s">
        <v>1022</v>
      </c>
      <c r="B481">
        <v>296000</v>
      </c>
      <c r="C481">
        <v>6.22</v>
      </c>
      <c r="D481" t="s">
        <v>183</v>
      </c>
      <c r="E481" t="s">
        <v>307</v>
      </c>
      <c r="F481">
        <v>2022</v>
      </c>
      <c r="G481" t="s">
        <v>10</v>
      </c>
    </row>
    <row r="482" spans="1:7">
      <c r="A482" t="s">
        <v>1023</v>
      </c>
      <c r="B482">
        <v>278000</v>
      </c>
      <c r="C482">
        <v>7.14</v>
      </c>
      <c r="D482" t="s">
        <v>183</v>
      </c>
      <c r="E482" t="s">
        <v>1024</v>
      </c>
      <c r="F482">
        <v>2022</v>
      </c>
      <c r="G482" t="s">
        <v>10</v>
      </c>
    </row>
    <row r="483" spans="1:7">
      <c r="A483" t="s">
        <v>1025</v>
      </c>
      <c r="B483">
        <v>236000</v>
      </c>
      <c r="C483">
        <v>8.19</v>
      </c>
      <c r="D483" t="s">
        <v>1282</v>
      </c>
      <c r="E483" t="s">
        <v>35</v>
      </c>
      <c r="F483">
        <v>2022</v>
      </c>
      <c r="G483" t="s">
        <v>10</v>
      </c>
    </row>
    <row r="484" spans="1:7">
      <c r="A484" t="s">
        <v>1027</v>
      </c>
      <c r="B484">
        <v>214000</v>
      </c>
      <c r="C484">
        <v>7.65</v>
      </c>
      <c r="D484" t="s">
        <v>231</v>
      </c>
      <c r="E484" t="s">
        <v>300</v>
      </c>
      <c r="F484">
        <v>2022</v>
      </c>
      <c r="G484" t="s">
        <v>10</v>
      </c>
    </row>
    <row r="485" spans="1:7">
      <c r="A485" t="s">
        <v>1029</v>
      </c>
      <c r="B485">
        <v>211000</v>
      </c>
      <c r="C485">
        <v>8.3699999999999992</v>
      </c>
      <c r="D485" t="s">
        <v>167</v>
      </c>
      <c r="E485" t="s">
        <v>241</v>
      </c>
      <c r="F485">
        <v>2022</v>
      </c>
      <c r="G485" t="s">
        <v>10</v>
      </c>
    </row>
    <row r="486" spans="1:7">
      <c r="A486" t="s">
        <v>1030</v>
      </c>
      <c r="B486">
        <v>131000</v>
      </c>
      <c r="C486">
        <v>6.62</v>
      </c>
      <c r="D486" t="s">
        <v>183</v>
      </c>
      <c r="E486" t="s">
        <v>75</v>
      </c>
      <c r="F486">
        <v>2022</v>
      </c>
      <c r="G486" t="s">
        <v>10</v>
      </c>
    </row>
    <row r="487" spans="1:7">
      <c r="A487" t="s">
        <v>1032</v>
      </c>
      <c r="B487">
        <v>752000</v>
      </c>
      <c r="C487">
        <v>8.48</v>
      </c>
      <c r="D487" t="s">
        <v>1046</v>
      </c>
      <c r="E487" t="s">
        <v>191</v>
      </c>
      <c r="F487">
        <v>2022</v>
      </c>
      <c r="G487" t="s">
        <v>10</v>
      </c>
    </row>
    <row r="488" spans="1:7">
      <c r="A488" t="s">
        <v>1033</v>
      </c>
      <c r="B488">
        <v>636000</v>
      </c>
      <c r="C488">
        <v>8.7200000000000006</v>
      </c>
      <c r="D488" t="s">
        <v>237</v>
      </c>
      <c r="E488" t="s">
        <v>27</v>
      </c>
      <c r="F488">
        <v>2022</v>
      </c>
      <c r="G488" t="s">
        <v>10</v>
      </c>
    </row>
    <row r="489" spans="1:7">
      <c r="A489" t="s">
        <v>1035</v>
      </c>
      <c r="B489">
        <v>418000</v>
      </c>
      <c r="C489">
        <v>6.02</v>
      </c>
      <c r="D489" t="s">
        <v>237</v>
      </c>
      <c r="E489" t="s">
        <v>98</v>
      </c>
      <c r="F489">
        <v>2022</v>
      </c>
      <c r="G489" t="s">
        <v>10</v>
      </c>
    </row>
    <row r="490" spans="1:7">
      <c r="A490" t="s">
        <v>1037</v>
      </c>
      <c r="B490">
        <v>283000</v>
      </c>
      <c r="C490">
        <v>6.91</v>
      </c>
      <c r="D490" t="s">
        <v>183</v>
      </c>
      <c r="E490" t="s">
        <v>368</v>
      </c>
      <c r="F490">
        <v>2022</v>
      </c>
      <c r="G490" t="s">
        <v>10</v>
      </c>
    </row>
    <row r="491" spans="1:7">
      <c r="A491" t="s">
        <v>1038</v>
      </c>
      <c r="B491">
        <v>204000</v>
      </c>
      <c r="C491">
        <v>8.15</v>
      </c>
      <c r="D491" t="s">
        <v>231</v>
      </c>
      <c r="E491" t="s">
        <v>159</v>
      </c>
      <c r="F491">
        <v>2022</v>
      </c>
      <c r="G491" t="s">
        <v>10</v>
      </c>
    </row>
    <row r="492" spans="1:7">
      <c r="A492" t="s">
        <v>1040</v>
      </c>
      <c r="B492">
        <v>970</v>
      </c>
      <c r="C492">
        <v>5.59</v>
      </c>
      <c r="D492" t="s">
        <v>485</v>
      </c>
      <c r="E492" t="s">
        <v>1041</v>
      </c>
      <c r="F492">
        <v>2022</v>
      </c>
      <c r="G492" t="s">
        <v>10</v>
      </c>
    </row>
    <row r="493" spans="1:7">
      <c r="A493" t="s">
        <v>1042</v>
      </c>
      <c r="B493">
        <v>927</v>
      </c>
      <c r="C493">
        <v>5.44</v>
      </c>
      <c r="D493" t="s">
        <v>1043</v>
      </c>
      <c r="E493" t="s">
        <v>1044</v>
      </c>
      <c r="F493">
        <v>2022</v>
      </c>
      <c r="G493" t="s">
        <v>10</v>
      </c>
    </row>
    <row r="494" spans="1:7">
      <c r="A494" t="s">
        <v>1045</v>
      </c>
      <c r="B494">
        <v>861</v>
      </c>
      <c r="C494">
        <v>5.74</v>
      </c>
      <c r="D494" t="s">
        <v>1046</v>
      </c>
      <c r="E494" t="s">
        <v>1047</v>
      </c>
      <c r="F494">
        <v>2022</v>
      </c>
      <c r="G494" t="s">
        <v>10</v>
      </c>
    </row>
    <row r="495" spans="1:7">
      <c r="A495" t="s">
        <v>1048</v>
      </c>
      <c r="B495">
        <v>851</v>
      </c>
      <c r="C495">
        <v>6.69</v>
      </c>
      <c r="D495" t="s">
        <v>183</v>
      </c>
      <c r="E495" t="s">
        <v>1049</v>
      </c>
      <c r="F495">
        <v>2022</v>
      </c>
      <c r="G495" t="s">
        <v>10</v>
      </c>
    </row>
    <row r="496" spans="1:7">
      <c r="A496" t="s">
        <v>1050</v>
      </c>
      <c r="B496">
        <v>715</v>
      </c>
      <c r="C496">
        <v>5.48</v>
      </c>
      <c r="D496" t="s">
        <v>231</v>
      </c>
      <c r="E496" t="s">
        <v>1051</v>
      </c>
      <c r="F496">
        <v>2022</v>
      </c>
      <c r="G496" t="s">
        <v>10</v>
      </c>
    </row>
    <row r="497" spans="1:7">
      <c r="A497" t="s">
        <v>1052</v>
      </c>
      <c r="B497">
        <v>706</v>
      </c>
      <c r="C497">
        <v>6.28</v>
      </c>
      <c r="D497" t="s">
        <v>167</v>
      </c>
      <c r="E497" t="s">
        <v>1012</v>
      </c>
      <c r="F497">
        <v>2022</v>
      </c>
      <c r="G497" t="s">
        <v>10</v>
      </c>
    </row>
    <row r="498" spans="1:7">
      <c r="A498" t="s">
        <v>1053</v>
      </c>
      <c r="B498">
        <v>606</v>
      </c>
      <c r="C498">
        <v>5.53</v>
      </c>
      <c r="D498" t="s">
        <v>167</v>
      </c>
      <c r="E498" t="s">
        <v>381</v>
      </c>
      <c r="F498">
        <v>2022</v>
      </c>
      <c r="G498" t="s">
        <v>10</v>
      </c>
    </row>
    <row r="499" spans="1:7">
      <c r="A499" t="s">
        <v>1055</v>
      </c>
      <c r="B499">
        <v>791000</v>
      </c>
      <c r="C499">
        <v>8.0500000000000007</v>
      </c>
      <c r="D499" t="s">
        <v>237</v>
      </c>
      <c r="E499" t="s">
        <v>606</v>
      </c>
      <c r="F499">
        <v>2022</v>
      </c>
      <c r="G499" t="s">
        <v>420</v>
      </c>
    </row>
    <row r="500" spans="1:7">
      <c r="A500" t="s">
        <v>1057</v>
      </c>
      <c r="B500">
        <v>765000</v>
      </c>
      <c r="C500">
        <v>7.94</v>
      </c>
      <c r="D500" t="s">
        <v>1280</v>
      </c>
      <c r="E500" t="s">
        <v>159</v>
      </c>
      <c r="F500">
        <v>2022</v>
      </c>
      <c r="G500" t="s">
        <v>420</v>
      </c>
    </row>
    <row r="501" spans="1:7">
      <c r="A501" t="s">
        <v>1058</v>
      </c>
      <c r="B501">
        <v>631000</v>
      </c>
      <c r="C501">
        <v>8.06</v>
      </c>
      <c r="D501" t="s">
        <v>183</v>
      </c>
      <c r="E501" t="s">
        <v>9</v>
      </c>
      <c r="F501">
        <v>2022</v>
      </c>
      <c r="G501" t="s">
        <v>420</v>
      </c>
    </row>
    <row r="502" spans="1:7">
      <c r="A502" t="s">
        <v>1059</v>
      </c>
      <c r="B502">
        <v>591000</v>
      </c>
      <c r="C502">
        <v>8.14</v>
      </c>
      <c r="D502" t="s">
        <v>183</v>
      </c>
      <c r="E502" t="s">
        <v>27</v>
      </c>
      <c r="F502">
        <v>2022</v>
      </c>
      <c r="G502" t="s">
        <v>420</v>
      </c>
    </row>
    <row r="503" spans="1:7">
      <c r="A503" t="s">
        <v>1060</v>
      </c>
      <c r="B503">
        <v>536000</v>
      </c>
      <c r="C503">
        <v>8.6</v>
      </c>
      <c r="D503" t="s">
        <v>1046</v>
      </c>
      <c r="E503" t="s">
        <v>297</v>
      </c>
      <c r="F503">
        <v>2022</v>
      </c>
      <c r="G503" t="s">
        <v>420</v>
      </c>
    </row>
    <row r="504" spans="1:7">
      <c r="A504" t="s">
        <v>1062</v>
      </c>
      <c r="B504">
        <v>524000</v>
      </c>
      <c r="C504">
        <v>6.66</v>
      </c>
      <c r="D504" t="s">
        <v>167</v>
      </c>
      <c r="E504" t="s">
        <v>909</v>
      </c>
      <c r="F504">
        <v>2022</v>
      </c>
      <c r="G504" t="s">
        <v>420</v>
      </c>
    </row>
    <row r="505" spans="1:7">
      <c r="A505" t="s">
        <v>1063</v>
      </c>
      <c r="B505">
        <v>473000</v>
      </c>
      <c r="C505">
        <v>6.7</v>
      </c>
      <c r="D505" t="s">
        <v>167</v>
      </c>
      <c r="E505" t="s">
        <v>150</v>
      </c>
      <c r="F505">
        <v>2022</v>
      </c>
      <c r="G505" t="s">
        <v>420</v>
      </c>
    </row>
    <row r="506" spans="1:7">
      <c r="A506" t="s">
        <v>1064</v>
      </c>
      <c r="B506">
        <v>406000</v>
      </c>
      <c r="C506">
        <v>7.75</v>
      </c>
      <c r="D506" t="s">
        <v>183</v>
      </c>
      <c r="E506" t="s">
        <v>307</v>
      </c>
      <c r="F506">
        <v>2022</v>
      </c>
      <c r="G506" t="s">
        <v>420</v>
      </c>
    </row>
    <row r="507" spans="1:7">
      <c r="A507" t="s">
        <v>1065</v>
      </c>
      <c r="B507">
        <v>272000</v>
      </c>
      <c r="C507">
        <v>7.26</v>
      </c>
      <c r="D507" t="s">
        <v>57</v>
      </c>
      <c r="E507" t="s">
        <v>113</v>
      </c>
      <c r="F507">
        <v>2022</v>
      </c>
      <c r="G507" t="s">
        <v>420</v>
      </c>
    </row>
    <row r="508" spans="1:7">
      <c r="A508" t="s">
        <v>1067</v>
      </c>
      <c r="B508">
        <v>261000</v>
      </c>
      <c r="C508">
        <v>7.74</v>
      </c>
      <c r="D508" t="s">
        <v>231</v>
      </c>
      <c r="E508" t="s">
        <v>1068</v>
      </c>
      <c r="F508">
        <v>2022</v>
      </c>
      <c r="G508" t="s">
        <v>420</v>
      </c>
    </row>
    <row r="509" spans="1:7">
      <c r="A509" t="s">
        <v>1069</v>
      </c>
      <c r="B509">
        <v>252000</v>
      </c>
      <c r="C509">
        <v>6.32</v>
      </c>
      <c r="D509" t="s">
        <v>183</v>
      </c>
      <c r="E509" t="s">
        <v>1070</v>
      </c>
      <c r="F509">
        <v>2022</v>
      </c>
      <c r="G509" t="s">
        <v>420</v>
      </c>
    </row>
    <row r="510" spans="1:7">
      <c r="A510" t="s">
        <v>1071</v>
      </c>
      <c r="B510">
        <v>140000</v>
      </c>
      <c r="C510">
        <v>8.02</v>
      </c>
      <c r="D510" t="s">
        <v>57</v>
      </c>
      <c r="E510" t="s">
        <v>300</v>
      </c>
      <c r="F510">
        <v>2022</v>
      </c>
      <c r="G510" t="s">
        <v>420</v>
      </c>
    </row>
    <row r="511" spans="1:7">
      <c r="A511" t="s">
        <v>1073</v>
      </c>
      <c r="B511">
        <v>351000</v>
      </c>
      <c r="C511">
        <v>8.0399999999999991</v>
      </c>
      <c r="D511" t="s">
        <v>183</v>
      </c>
      <c r="E511" t="s">
        <v>24</v>
      </c>
      <c r="F511">
        <v>2022</v>
      </c>
      <c r="G511" t="s">
        <v>420</v>
      </c>
    </row>
    <row r="512" spans="1:7">
      <c r="A512" t="s">
        <v>1075</v>
      </c>
      <c r="B512">
        <v>9400</v>
      </c>
      <c r="C512">
        <v>8.17</v>
      </c>
      <c r="D512" t="s">
        <v>183</v>
      </c>
      <c r="E512" t="s">
        <v>483</v>
      </c>
      <c r="F512">
        <v>2022</v>
      </c>
      <c r="G512" t="s">
        <v>420</v>
      </c>
    </row>
    <row r="513" spans="1:7">
      <c r="A513" t="s">
        <v>1076</v>
      </c>
      <c r="B513">
        <v>5600</v>
      </c>
      <c r="C513">
        <v>7.53</v>
      </c>
      <c r="D513" t="s">
        <v>183</v>
      </c>
      <c r="E513" t="s">
        <v>222</v>
      </c>
      <c r="F513">
        <v>2022</v>
      </c>
      <c r="G513" t="s">
        <v>420</v>
      </c>
    </row>
    <row r="514" spans="1:7">
      <c r="A514" t="s">
        <v>1077</v>
      </c>
      <c r="B514">
        <v>897</v>
      </c>
      <c r="C514">
        <v>5.96</v>
      </c>
      <c r="D514" t="s">
        <v>183</v>
      </c>
      <c r="E514" t="s">
        <v>1079</v>
      </c>
      <c r="F514">
        <v>2022</v>
      </c>
      <c r="G514" t="s">
        <v>420</v>
      </c>
    </row>
    <row r="515" spans="1:7">
      <c r="A515" t="s">
        <v>1080</v>
      </c>
      <c r="B515">
        <v>879</v>
      </c>
      <c r="C515">
        <v>6.36</v>
      </c>
      <c r="D515" t="s">
        <v>167</v>
      </c>
      <c r="E515" t="s">
        <v>546</v>
      </c>
      <c r="F515">
        <v>2022</v>
      </c>
      <c r="G515" t="s">
        <v>420</v>
      </c>
    </row>
    <row r="516" spans="1:7">
      <c r="A516" t="s">
        <v>1081</v>
      </c>
      <c r="B516">
        <v>630</v>
      </c>
      <c r="C516">
        <v>6.59</v>
      </c>
      <c r="D516" t="s">
        <v>183</v>
      </c>
      <c r="E516" t="s">
        <v>588</v>
      </c>
      <c r="F516">
        <v>2022</v>
      </c>
      <c r="G516" t="s">
        <v>420</v>
      </c>
    </row>
    <row r="517" spans="1:7">
      <c r="A517" t="s">
        <v>1082</v>
      </c>
      <c r="B517">
        <v>581</v>
      </c>
      <c r="C517">
        <v>5.98</v>
      </c>
      <c r="D517" t="s">
        <v>231</v>
      </c>
      <c r="E517" t="s">
        <v>1083</v>
      </c>
      <c r="F517">
        <v>2022</v>
      </c>
      <c r="G517" t="s">
        <v>420</v>
      </c>
    </row>
    <row r="518" spans="1:7">
      <c r="A518" t="s">
        <v>1084</v>
      </c>
      <c r="B518">
        <v>518</v>
      </c>
      <c r="C518">
        <v>6.32</v>
      </c>
      <c r="D518" t="s">
        <v>183</v>
      </c>
      <c r="E518" t="s">
        <v>1086</v>
      </c>
      <c r="F518">
        <v>2022</v>
      </c>
      <c r="G518" t="s">
        <v>420</v>
      </c>
    </row>
    <row r="519" spans="1:7">
      <c r="A519" t="s">
        <v>1087</v>
      </c>
      <c r="B519">
        <v>250000</v>
      </c>
      <c r="C519">
        <v>7.97</v>
      </c>
      <c r="D519" t="s">
        <v>237</v>
      </c>
      <c r="E519" t="s">
        <v>1089</v>
      </c>
      <c r="F519">
        <v>2022</v>
      </c>
      <c r="G519" t="s">
        <v>420</v>
      </c>
    </row>
    <row r="520" spans="1:7">
      <c r="A520" t="s">
        <v>1090</v>
      </c>
      <c r="B520">
        <v>383000</v>
      </c>
      <c r="C520">
        <v>8.1199999999999992</v>
      </c>
      <c r="D520" t="s">
        <v>1046</v>
      </c>
      <c r="E520" t="s">
        <v>150</v>
      </c>
      <c r="F520">
        <v>2022</v>
      </c>
      <c r="G520" t="s">
        <v>420</v>
      </c>
    </row>
    <row r="521" spans="1:7">
      <c r="A521" t="s">
        <v>1091</v>
      </c>
      <c r="B521">
        <v>733</v>
      </c>
      <c r="C521">
        <v>5.76</v>
      </c>
      <c r="D521" t="s">
        <v>57</v>
      </c>
      <c r="E521" t="s">
        <v>796</v>
      </c>
      <c r="F521">
        <v>2022</v>
      </c>
      <c r="G521" t="s">
        <v>420</v>
      </c>
    </row>
    <row r="522" spans="1:7">
      <c r="A522" t="s">
        <v>1092</v>
      </c>
      <c r="B522">
        <v>1900000</v>
      </c>
      <c r="C522">
        <v>8.42</v>
      </c>
      <c r="D522" t="s">
        <v>183</v>
      </c>
      <c r="E522" t="s">
        <v>564</v>
      </c>
      <c r="F522">
        <v>2022</v>
      </c>
      <c r="G522" t="s">
        <v>257</v>
      </c>
    </row>
    <row r="523" spans="1:7">
      <c r="A523" t="s">
        <v>1094</v>
      </c>
      <c r="B523">
        <v>863000</v>
      </c>
      <c r="C523">
        <v>6.53</v>
      </c>
      <c r="D523" t="s">
        <v>183</v>
      </c>
      <c r="E523" t="s">
        <v>1096</v>
      </c>
      <c r="F523">
        <v>2022</v>
      </c>
      <c r="G523" t="s">
        <v>257</v>
      </c>
    </row>
    <row r="524" spans="1:7">
      <c r="A524" t="s">
        <v>1097</v>
      </c>
      <c r="B524">
        <v>554000</v>
      </c>
      <c r="C524">
        <v>7.97</v>
      </c>
      <c r="D524" t="s">
        <v>167</v>
      </c>
      <c r="E524" t="s">
        <v>104</v>
      </c>
      <c r="F524">
        <v>2022</v>
      </c>
      <c r="G524" t="s">
        <v>257</v>
      </c>
    </row>
    <row r="525" spans="1:7">
      <c r="A525" t="s">
        <v>1098</v>
      </c>
      <c r="B525">
        <v>489000</v>
      </c>
      <c r="C525">
        <v>7.7</v>
      </c>
      <c r="D525" t="s">
        <v>1289</v>
      </c>
      <c r="E525" t="s">
        <v>86</v>
      </c>
      <c r="F525">
        <v>2022</v>
      </c>
      <c r="G525" t="s">
        <v>257</v>
      </c>
    </row>
    <row r="526" spans="1:7">
      <c r="A526" t="s">
        <v>1100</v>
      </c>
      <c r="B526">
        <v>392000</v>
      </c>
      <c r="C526">
        <v>7.27</v>
      </c>
      <c r="D526" t="s">
        <v>167</v>
      </c>
      <c r="E526" t="s">
        <v>101</v>
      </c>
      <c r="F526">
        <v>2022</v>
      </c>
      <c r="G526" t="s">
        <v>257</v>
      </c>
    </row>
    <row r="527" spans="1:7">
      <c r="A527" t="s">
        <v>1101</v>
      </c>
      <c r="B527">
        <v>372000</v>
      </c>
      <c r="C527">
        <v>7.13</v>
      </c>
      <c r="D527" t="s">
        <v>183</v>
      </c>
      <c r="E527" t="s">
        <v>621</v>
      </c>
      <c r="F527">
        <v>2022</v>
      </c>
      <c r="G527" t="s">
        <v>257</v>
      </c>
    </row>
    <row r="528" spans="1:7">
      <c r="A528" t="s">
        <v>1102</v>
      </c>
      <c r="B528">
        <v>354000</v>
      </c>
      <c r="C528">
        <v>7</v>
      </c>
      <c r="D528" t="s">
        <v>183</v>
      </c>
      <c r="E528" t="s">
        <v>83</v>
      </c>
      <c r="F528">
        <v>2022</v>
      </c>
      <c r="G528" t="s">
        <v>257</v>
      </c>
    </row>
    <row r="529" spans="1:7">
      <c r="A529" t="s">
        <v>1103</v>
      </c>
      <c r="B529">
        <v>339000</v>
      </c>
      <c r="C529">
        <v>6.29</v>
      </c>
      <c r="D529" t="s">
        <v>183</v>
      </c>
      <c r="E529" t="s">
        <v>623</v>
      </c>
      <c r="F529">
        <v>2022</v>
      </c>
      <c r="G529" t="s">
        <v>257</v>
      </c>
    </row>
    <row r="530" spans="1:7">
      <c r="A530" t="s">
        <v>1104</v>
      </c>
      <c r="B530">
        <v>329000</v>
      </c>
      <c r="C530">
        <v>8.09</v>
      </c>
      <c r="D530" t="s">
        <v>167</v>
      </c>
      <c r="E530" t="s">
        <v>250</v>
      </c>
      <c r="F530">
        <v>2022</v>
      </c>
      <c r="G530" t="s">
        <v>257</v>
      </c>
    </row>
    <row r="531" spans="1:7">
      <c r="A531" t="s">
        <v>1106</v>
      </c>
      <c r="B531">
        <v>289000</v>
      </c>
      <c r="C531">
        <v>7.73</v>
      </c>
      <c r="D531" t="s">
        <v>183</v>
      </c>
      <c r="E531" t="s">
        <v>1108</v>
      </c>
      <c r="F531">
        <v>2022</v>
      </c>
      <c r="G531" t="s">
        <v>257</v>
      </c>
    </row>
    <row r="532" spans="1:7">
      <c r="A532" t="s">
        <v>1109</v>
      </c>
      <c r="B532">
        <v>975</v>
      </c>
      <c r="C532">
        <v>6.28</v>
      </c>
      <c r="D532" t="s">
        <v>183</v>
      </c>
      <c r="E532" t="s">
        <v>401</v>
      </c>
      <c r="F532">
        <v>2022</v>
      </c>
      <c r="G532" t="s">
        <v>257</v>
      </c>
    </row>
    <row r="533" spans="1:7">
      <c r="A533" t="s">
        <v>1110</v>
      </c>
      <c r="B533">
        <v>898</v>
      </c>
      <c r="C533">
        <v>6.13</v>
      </c>
      <c r="D533" t="s">
        <v>231</v>
      </c>
      <c r="E533" t="s">
        <v>1111</v>
      </c>
      <c r="F533">
        <v>2022</v>
      </c>
      <c r="G533" t="s">
        <v>257</v>
      </c>
    </row>
    <row r="534" spans="1:7">
      <c r="A534" t="s">
        <v>1112</v>
      </c>
      <c r="B534">
        <v>862</v>
      </c>
      <c r="C534">
        <v>6.12</v>
      </c>
      <c r="D534" t="s">
        <v>1046</v>
      </c>
      <c r="E534" t="s">
        <v>67</v>
      </c>
      <c r="F534">
        <v>2022</v>
      </c>
      <c r="G534" t="s">
        <v>257</v>
      </c>
    </row>
    <row r="535" spans="1:7">
      <c r="A535" t="s">
        <v>1113</v>
      </c>
      <c r="B535">
        <v>776</v>
      </c>
      <c r="C535">
        <v>6.87</v>
      </c>
      <c r="D535" t="s">
        <v>183</v>
      </c>
      <c r="E535" t="s">
        <v>397</v>
      </c>
      <c r="F535">
        <v>2022</v>
      </c>
      <c r="G535" t="s">
        <v>257</v>
      </c>
    </row>
    <row r="536" spans="1:7">
      <c r="A536" t="s">
        <v>1114</v>
      </c>
      <c r="B536">
        <v>299</v>
      </c>
      <c r="C536">
        <v>5.99</v>
      </c>
      <c r="D536" t="s">
        <v>167</v>
      </c>
      <c r="E536" t="s">
        <v>159</v>
      </c>
      <c r="F536">
        <v>2022</v>
      </c>
      <c r="G536" t="s">
        <v>257</v>
      </c>
    </row>
    <row r="537" spans="1:7">
      <c r="A537" t="s">
        <v>1116</v>
      </c>
      <c r="B537">
        <v>317000</v>
      </c>
      <c r="C537">
        <v>7.81</v>
      </c>
      <c r="D537" t="s">
        <v>167</v>
      </c>
      <c r="E537" t="s">
        <v>289</v>
      </c>
      <c r="F537">
        <v>2022</v>
      </c>
      <c r="G537" t="s">
        <v>257</v>
      </c>
    </row>
    <row r="538" spans="1:7">
      <c r="A538" t="s">
        <v>1118</v>
      </c>
      <c r="B538">
        <v>459</v>
      </c>
      <c r="C538">
        <v>5.96</v>
      </c>
      <c r="D538" t="s">
        <v>167</v>
      </c>
      <c r="E538" t="s">
        <v>52</v>
      </c>
      <c r="F538">
        <v>2022</v>
      </c>
      <c r="G538" t="s">
        <v>257</v>
      </c>
    </row>
    <row r="539" spans="1:7">
      <c r="A539" t="s">
        <v>1119</v>
      </c>
      <c r="B539">
        <v>399</v>
      </c>
      <c r="C539">
        <v>5.49</v>
      </c>
      <c r="D539" t="s">
        <v>183</v>
      </c>
      <c r="E539" t="s">
        <v>52</v>
      </c>
      <c r="F539">
        <v>2022</v>
      </c>
      <c r="G539" t="s">
        <v>257</v>
      </c>
    </row>
    <row r="540" spans="1:7">
      <c r="A540" t="s">
        <v>1121</v>
      </c>
      <c r="B540">
        <v>853000</v>
      </c>
      <c r="C540">
        <v>8.7200000000000006</v>
      </c>
      <c r="D540" t="s">
        <v>183</v>
      </c>
      <c r="E540" t="s">
        <v>647</v>
      </c>
      <c r="F540">
        <v>2022</v>
      </c>
      <c r="G540" t="s">
        <v>561</v>
      </c>
    </row>
    <row r="541" spans="1:7">
      <c r="A541" t="s">
        <v>1123</v>
      </c>
      <c r="B541">
        <v>783000</v>
      </c>
      <c r="C541">
        <v>8.73</v>
      </c>
      <c r="D541" t="s">
        <v>167</v>
      </c>
      <c r="E541" t="s">
        <v>300</v>
      </c>
      <c r="F541">
        <v>2022</v>
      </c>
      <c r="G541" t="s">
        <v>561</v>
      </c>
    </row>
    <row r="542" spans="1:7">
      <c r="A542" t="s">
        <v>1125</v>
      </c>
      <c r="B542">
        <v>698000</v>
      </c>
      <c r="C542">
        <v>8.98</v>
      </c>
      <c r="D542" t="s">
        <v>183</v>
      </c>
      <c r="E542" t="s">
        <v>869</v>
      </c>
      <c r="F542">
        <v>2022</v>
      </c>
      <c r="G542" t="s">
        <v>561</v>
      </c>
    </row>
    <row r="543" spans="1:7">
      <c r="A543" t="s">
        <v>1126</v>
      </c>
      <c r="B543">
        <v>251000</v>
      </c>
      <c r="C543">
        <v>7.24</v>
      </c>
      <c r="D543" t="s">
        <v>167</v>
      </c>
      <c r="E543" t="s">
        <v>89</v>
      </c>
      <c r="F543">
        <v>2022</v>
      </c>
      <c r="G543" t="s">
        <v>561</v>
      </c>
    </row>
    <row r="544" spans="1:7">
      <c r="A544" t="s">
        <v>1128</v>
      </c>
      <c r="B544">
        <v>302000</v>
      </c>
      <c r="C544">
        <v>8.51</v>
      </c>
      <c r="D544" t="s">
        <v>183</v>
      </c>
      <c r="E544" t="s">
        <v>24</v>
      </c>
      <c r="F544">
        <v>2022</v>
      </c>
      <c r="G544" t="s">
        <v>561</v>
      </c>
    </row>
    <row r="545" spans="1:7">
      <c r="A545" t="s">
        <v>1129</v>
      </c>
      <c r="B545">
        <v>498000</v>
      </c>
      <c r="C545">
        <v>8.24</v>
      </c>
      <c r="D545" t="s">
        <v>1046</v>
      </c>
      <c r="E545" t="s">
        <v>1131</v>
      </c>
      <c r="F545">
        <v>2022</v>
      </c>
      <c r="G545" t="s">
        <v>561</v>
      </c>
    </row>
    <row r="546" spans="1:7">
      <c r="A546" t="s">
        <v>1132</v>
      </c>
      <c r="B546">
        <v>275</v>
      </c>
      <c r="C546">
        <v>5.78</v>
      </c>
      <c r="D546" t="s">
        <v>183</v>
      </c>
      <c r="E546" t="s">
        <v>1133</v>
      </c>
      <c r="F546">
        <v>2022</v>
      </c>
      <c r="G546" t="s">
        <v>561</v>
      </c>
    </row>
    <row r="547" spans="1:7">
      <c r="A547" t="s">
        <v>1134</v>
      </c>
      <c r="B547">
        <v>2300000</v>
      </c>
      <c r="C547">
        <v>8.7899999999999991</v>
      </c>
      <c r="D547" t="s">
        <v>183</v>
      </c>
      <c r="E547" t="s">
        <v>13</v>
      </c>
      <c r="F547">
        <v>2021</v>
      </c>
      <c r="G547" t="s">
        <v>10</v>
      </c>
    </row>
    <row r="548" spans="1:7">
      <c r="A548" t="s">
        <v>1135</v>
      </c>
      <c r="B548">
        <v>1600000</v>
      </c>
      <c r="C548">
        <v>8.18</v>
      </c>
      <c r="D548" t="s">
        <v>1280</v>
      </c>
      <c r="E548" t="s">
        <v>300</v>
      </c>
      <c r="F548">
        <v>2021</v>
      </c>
      <c r="G548" t="s">
        <v>10</v>
      </c>
    </row>
    <row r="549" spans="1:7">
      <c r="A549" t="s">
        <v>1136</v>
      </c>
      <c r="B549">
        <v>1200000</v>
      </c>
      <c r="C549">
        <v>8.15</v>
      </c>
      <c r="D549" t="s">
        <v>1046</v>
      </c>
      <c r="E549" t="s">
        <v>150</v>
      </c>
      <c r="F549">
        <v>2021</v>
      </c>
      <c r="G549" t="s">
        <v>10</v>
      </c>
    </row>
    <row r="550" spans="1:7">
      <c r="A550" t="s">
        <v>1137</v>
      </c>
      <c r="B550">
        <v>997000</v>
      </c>
      <c r="C550">
        <v>5.24</v>
      </c>
      <c r="D550" t="s">
        <v>1281</v>
      </c>
      <c r="E550" t="s">
        <v>300</v>
      </c>
      <c r="F550">
        <v>2021</v>
      </c>
      <c r="G550" t="s">
        <v>10</v>
      </c>
    </row>
    <row r="551" spans="1:7">
      <c r="A551" t="s">
        <v>1139</v>
      </c>
      <c r="B551">
        <v>831000</v>
      </c>
      <c r="C551">
        <v>7.54</v>
      </c>
      <c r="D551" t="s">
        <v>237</v>
      </c>
      <c r="E551" t="s">
        <v>300</v>
      </c>
      <c r="F551">
        <v>2021</v>
      </c>
      <c r="G551" t="s">
        <v>10</v>
      </c>
    </row>
    <row r="552" spans="1:7">
      <c r="A552" t="s">
        <v>1141</v>
      </c>
      <c r="B552">
        <v>809000</v>
      </c>
      <c r="C552">
        <v>8</v>
      </c>
      <c r="D552" t="s">
        <v>167</v>
      </c>
      <c r="E552" t="s">
        <v>289</v>
      </c>
      <c r="F552">
        <v>2021</v>
      </c>
      <c r="G552" t="s">
        <v>10</v>
      </c>
    </row>
    <row r="553" spans="1:7">
      <c r="A553" t="s">
        <v>1142</v>
      </c>
      <c r="B553">
        <v>629000</v>
      </c>
      <c r="C553">
        <v>8</v>
      </c>
      <c r="D553" t="s">
        <v>1043</v>
      </c>
      <c r="E553" t="s">
        <v>647</v>
      </c>
      <c r="F553">
        <v>2021</v>
      </c>
      <c r="G553" t="s">
        <v>10</v>
      </c>
    </row>
    <row r="554" spans="1:7">
      <c r="A554" t="s">
        <v>1144</v>
      </c>
      <c r="B554">
        <v>506000</v>
      </c>
      <c r="C554">
        <v>7.44</v>
      </c>
      <c r="D554" t="s">
        <v>183</v>
      </c>
      <c r="E554" t="s">
        <v>331</v>
      </c>
      <c r="F554">
        <v>2021</v>
      </c>
      <c r="G554" t="s">
        <v>10</v>
      </c>
    </row>
    <row r="555" spans="1:7">
      <c r="A555" t="s">
        <v>1145</v>
      </c>
      <c r="B555">
        <v>494000</v>
      </c>
      <c r="C555">
        <v>7.75</v>
      </c>
      <c r="D555" t="s">
        <v>237</v>
      </c>
      <c r="E555" t="s">
        <v>52</v>
      </c>
      <c r="F555">
        <v>2021</v>
      </c>
      <c r="G555" t="s">
        <v>10</v>
      </c>
    </row>
    <row r="556" spans="1:7">
      <c r="A556" t="s">
        <v>1147</v>
      </c>
      <c r="B556">
        <v>477000</v>
      </c>
      <c r="C556">
        <v>6.57</v>
      </c>
      <c r="D556" t="s">
        <v>183</v>
      </c>
      <c r="E556" t="s">
        <v>35</v>
      </c>
      <c r="F556">
        <v>2021</v>
      </c>
      <c r="G556" t="s">
        <v>10</v>
      </c>
    </row>
    <row r="557" spans="1:7">
      <c r="A557" t="s">
        <v>1148</v>
      </c>
      <c r="B557">
        <v>440000</v>
      </c>
      <c r="C557">
        <v>7.1</v>
      </c>
      <c r="D557" t="s">
        <v>237</v>
      </c>
      <c r="E557" t="s">
        <v>70</v>
      </c>
      <c r="F557">
        <v>2021</v>
      </c>
      <c r="G557" t="s">
        <v>10</v>
      </c>
    </row>
    <row r="558" spans="1:7">
      <c r="A558" t="s">
        <v>1149</v>
      </c>
      <c r="B558">
        <v>438000</v>
      </c>
      <c r="C558">
        <v>6.27</v>
      </c>
      <c r="D558" t="s">
        <v>183</v>
      </c>
      <c r="E558" t="s">
        <v>86</v>
      </c>
      <c r="F558">
        <v>2021</v>
      </c>
      <c r="G558" t="s">
        <v>10</v>
      </c>
    </row>
    <row r="559" spans="1:7">
      <c r="A559" t="s">
        <v>1151</v>
      </c>
      <c r="B559">
        <v>420000</v>
      </c>
      <c r="C559">
        <v>7.36</v>
      </c>
      <c r="D559" t="s">
        <v>183</v>
      </c>
      <c r="E559" t="s">
        <v>611</v>
      </c>
      <c r="F559">
        <v>2021</v>
      </c>
      <c r="G559" t="s">
        <v>10</v>
      </c>
    </row>
    <row r="560" spans="1:7">
      <c r="A560" t="s">
        <v>1153</v>
      </c>
      <c r="B560">
        <v>320000</v>
      </c>
      <c r="C560">
        <v>6.32</v>
      </c>
      <c r="D560" t="s">
        <v>1046</v>
      </c>
      <c r="E560" t="s">
        <v>159</v>
      </c>
      <c r="F560">
        <v>2021</v>
      </c>
      <c r="G560" t="s">
        <v>10</v>
      </c>
    </row>
    <row r="561" spans="1:7">
      <c r="A561" t="s">
        <v>1154</v>
      </c>
      <c r="B561">
        <v>300000</v>
      </c>
      <c r="C561">
        <v>7.38</v>
      </c>
      <c r="D561" t="s">
        <v>167</v>
      </c>
      <c r="E561" t="s">
        <v>24</v>
      </c>
      <c r="F561">
        <v>2021</v>
      </c>
      <c r="G561" t="s">
        <v>10</v>
      </c>
    </row>
    <row r="562" spans="1:7">
      <c r="A562" t="s">
        <v>1156</v>
      </c>
      <c r="B562">
        <v>253000</v>
      </c>
      <c r="C562">
        <v>8.5</v>
      </c>
      <c r="D562" t="s">
        <v>231</v>
      </c>
      <c r="E562" t="s">
        <v>1158</v>
      </c>
      <c r="F562">
        <v>2021</v>
      </c>
      <c r="G562" t="s">
        <v>10</v>
      </c>
    </row>
    <row r="563" spans="1:7">
      <c r="A563" t="s">
        <v>1159</v>
      </c>
      <c r="B563">
        <v>3000000</v>
      </c>
      <c r="C563">
        <v>8.51</v>
      </c>
      <c r="D563" t="s">
        <v>183</v>
      </c>
      <c r="E563" t="s">
        <v>13</v>
      </c>
      <c r="F563">
        <v>2021</v>
      </c>
      <c r="G563" t="s">
        <v>10</v>
      </c>
    </row>
    <row r="564" spans="1:7">
      <c r="A564" t="s">
        <v>1161</v>
      </c>
      <c r="B564">
        <v>303000</v>
      </c>
      <c r="C564">
        <v>7.21</v>
      </c>
      <c r="D564" t="s">
        <v>1284</v>
      </c>
      <c r="E564" t="s">
        <v>643</v>
      </c>
      <c r="F564">
        <v>2021</v>
      </c>
      <c r="G564" t="s">
        <v>10</v>
      </c>
    </row>
    <row r="565" spans="1:7">
      <c r="A565" t="s">
        <v>1163</v>
      </c>
      <c r="B565">
        <v>379000</v>
      </c>
      <c r="C565">
        <v>6.68</v>
      </c>
      <c r="D565" t="s">
        <v>183</v>
      </c>
      <c r="E565" t="s">
        <v>810</v>
      </c>
      <c r="F565">
        <v>2021</v>
      </c>
      <c r="G565" t="s">
        <v>10</v>
      </c>
    </row>
    <row r="566" spans="1:7">
      <c r="A566" t="s">
        <v>1165</v>
      </c>
      <c r="B566">
        <v>899</v>
      </c>
      <c r="C566">
        <v>6.33</v>
      </c>
      <c r="D566" t="s">
        <v>183</v>
      </c>
      <c r="E566" t="s">
        <v>212</v>
      </c>
      <c r="F566">
        <v>2021</v>
      </c>
      <c r="G566" t="s">
        <v>10</v>
      </c>
    </row>
    <row r="567" spans="1:7">
      <c r="A567" t="s">
        <v>1166</v>
      </c>
      <c r="B567">
        <v>845</v>
      </c>
      <c r="C567">
        <v>5.29</v>
      </c>
      <c r="D567" t="s">
        <v>183</v>
      </c>
      <c r="E567" t="s">
        <v>1167</v>
      </c>
      <c r="F567">
        <v>2021</v>
      </c>
      <c r="G567" t="s">
        <v>10</v>
      </c>
    </row>
    <row r="568" spans="1:7">
      <c r="A568" t="s">
        <v>1168</v>
      </c>
      <c r="B568">
        <v>809</v>
      </c>
      <c r="C568">
        <v>6.11</v>
      </c>
      <c r="D568" t="s">
        <v>57</v>
      </c>
      <c r="E568" t="s">
        <v>1131</v>
      </c>
      <c r="F568">
        <v>2021</v>
      </c>
      <c r="G568" t="s">
        <v>10</v>
      </c>
    </row>
    <row r="569" spans="1:7">
      <c r="A569" t="s">
        <v>1170</v>
      </c>
      <c r="B569">
        <v>807</v>
      </c>
      <c r="C569">
        <v>5.65</v>
      </c>
      <c r="D569" t="s">
        <v>237</v>
      </c>
      <c r="E569" t="s">
        <v>1171</v>
      </c>
      <c r="F569">
        <v>2021</v>
      </c>
      <c r="G569" t="s">
        <v>10</v>
      </c>
    </row>
    <row r="570" spans="1:7">
      <c r="A570" t="s">
        <v>1172</v>
      </c>
      <c r="B570">
        <v>788</v>
      </c>
      <c r="C570">
        <v>5.87</v>
      </c>
      <c r="D570" t="s">
        <v>167</v>
      </c>
      <c r="E570" t="s">
        <v>1173</v>
      </c>
      <c r="F570">
        <v>2021</v>
      </c>
      <c r="G570" t="s">
        <v>10</v>
      </c>
    </row>
    <row r="571" spans="1:7">
      <c r="A571" t="s">
        <v>1174</v>
      </c>
      <c r="B571">
        <v>748</v>
      </c>
      <c r="C571">
        <v>6.06</v>
      </c>
      <c r="D571" t="s">
        <v>1290</v>
      </c>
      <c r="E571" t="s">
        <v>1176</v>
      </c>
      <c r="F571">
        <v>2021</v>
      </c>
      <c r="G571" t="s">
        <v>10</v>
      </c>
    </row>
    <row r="572" spans="1:7">
      <c r="A572" t="s">
        <v>1177</v>
      </c>
      <c r="B572">
        <v>711</v>
      </c>
      <c r="C572">
        <v>5.4</v>
      </c>
      <c r="D572" t="s">
        <v>231</v>
      </c>
      <c r="E572" t="s">
        <v>1108</v>
      </c>
      <c r="F572">
        <v>2021</v>
      </c>
      <c r="G572" t="s">
        <v>10</v>
      </c>
    </row>
    <row r="573" spans="1:7">
      <c r="A573" t="s">
        <v>1178</v>
      </c>
      <c r="B573">
        <v>471</v>
      </c>
      <c r="C573">
        <v>5.7</v>
      </c>
      <c r="D573" t="s">
        <v>1179</v>
      </c>
      <c r="E573" t="s">
        <v>18</v>
      </c>
      <c r="F573">
        <v>2021</v>
      </c>
      <c r="G573" t="s">
        <v>10</v>
      </c>
    </row>
    <row r="574" spans="1:7">
      <c r="A574" t="s">
        <v>1180</v>
      </c>
      <c r="B574">
        <v>904</v>
      </c>
      <c r="C574">
        <v>5.41</v>
      </c>
      <c r="D574" t="s">
        <v>183</v>
      </c>
      <c r="E574" t="s">
        <v>1167</v>
      </c>
      <c r="F574">
        <v>2021</v>
      </c>
      <c r="G574" t="s">
        <v>10</v>
      </c>
    </row>
    <row r="575" spans="1:7">
      <c r="A575" t="s">
        <v>1182</v>
      </c>
      <c r="B575">
        <v>903000</v>
      </c>
      <c r="C575">
        <v>8.2899999999999991</v>
      </c>
      <c r="D575" t="s">
        <v>183</v>
      </c>
      <c r="E575" t="s">
        <v>256</v>
      </c>
      <c r="F575">
        <v>2021</v>
      </c>
      <c r="G575" t="s">
        <v>420</v>
      </c>
    </row>
    <row r="576" spans="1:7">
      <c r="A576" t="s">
        <v>1183</v>
      </c>
      <c r="B576">
        <v>610000</v>
      </c>
      <c r="C576">
        <v>8.1999999999999993</v>
      </c>
      <c r="D576" t="s">
        <v>231</v>
      </c>
      <c r="E576" t="s">
        <v>1185</v>
      </c>
      <c r="F576">
        <v>2021</v>
      </c>
      <c r="G576" t="s">
        <v>420</v>
      </c>
    </row>
    <row r="577" spans="1:7">
      <c r="A577" t="s">
        <v>1186</v>
      </c>
      <c r="B577">
        <v>452000</v>
      </c>
      <c r="C577">
        <v>7.06</v>
      </c>
      <c r="D577" t="s">
        <v>183</v>
      </c>
      <c r="E577" t="s">
        <v>150</v>
      </c>
      <c r="F577">
        <v>2021</v>
      </c>
      <c r="G577" t="s">
        <v>420</v>
      </c>
    </row>
    <row r="578" spans="1:7">
      <c r="A578" t="s">
        <v>1187</v>
      </c>
      <c r="B578">
        <v>422000</v>
      </c>
      <c r="C578">
        <v>6.51</v>
      </c>
      <c r="D578" t="s">
        <v>167</v>
      </c>
      <c r="E578" t="s">
        <v>965</v>
      </c>
      <c r="F578">
        <v>2021</v>
      </c>
      <c r="G578" t="s">
        <v>420</v>
      </c>
    </row>
    <row r="579" spans="1:7">
      <c r="A579" t="s">
        <v>1188</v>
      </c>
      <c r="B579">
        <v>410000</v>
      </c>
      <c r="C579">
        <v>6.43</v>
      </c>
      <c r="D579" t="s">
        <v>167</v>
      </c>
      <c r="E579" t="s">
        <v>89</v>
      </c>
      <c r="F579">
        <v>2021</v>
      </c>
      <c r="G579" t="s">
        <v>420</v>
      </c>
    </row>
    <row r="580" spans="1:7">
      <c r="A580" t="s">
        <v>1190</v>
      </c>
      <c r="B580">
        <v>381000</v>
      </c>
      <c r="C580">
        <v>7.38</v>
      </c>
      <c r="D580" t="s">
        <v>237</v>
      </c>
      <c r="E580" t="s">
        <v>156</v>
      </c>
      <c r="F580">
        <v>2021</v>
      </c>
      <c r="G580" t="s">
        <v>420</v>
      </c>
    </row>
    <row r="581" spans="1:7">
      <c r="A581" t="s">
        <v>1192</v>
      </c>
      <c r="B581">
        <v>282000</v>
      </c>
      <c r="C581">
        <v>7.58</v>
      </c>
      <c r="D581" t="s">
        <v>167</v>
      </c>
      <c r="E581" t="s">
        <v>307</v>
      </c>
      <c r="F581">
        <v>2021</v>
      </c>
      <c r="G581" t="s">
        <v>420</v>
      </c>
    </row>
    <row r="582" spans="1:7">
      <c r="A582" t="s">
        <v>1193</v>
      </c>
      <c r="B582">
        <v>256000</v>
      </c>
      <c r="C582">
        <v>7.21</v>
      </c>
      <c r="D582" t="s">
        <v>167</v>
      </c>
      <c r="E582" t="s">
        <v>110</v>
      </c>
      <c r="F582">
        <v>2021</v>
      </c>
      <c r="G582" t="s">
        <v>420</v>
      </c>
    </row>
    <row r="583" spans="1:7">
      <c r="A583" t="s">
        <v>1194</v>
      </c>
      <c r="B583">
        <v>210000</v>
      </c>
      <c r="C583">
        <v>7.6</v>
      </c>
      <c r="D583" t="s">
        <v>183</v>
      </c>
      <c r="E583" t="s">
        <v>13</v>
      </c>
      <c r="F583">
        <v>2021</v>
      </c>
      <c r="G583" t="s">
        <v>420</v>
      </c>
    </row>
    <row r="584" spans="1:7">
      <c r="A584" t="s">
        <v>1196</v>
      </c>
      <c r="B584">
        <v>202000</v>
      </c>
      <c r="C584">
        <v>6.24</v>
      </c>
      <c r="D584" t="s">
        <v>183</v>
      </c>
      <c r="E584" t="s">
        <v>319</v>
      </c>
      <c r="F584">
        <v>2021</v>
      </c>
      <c r="G584" t="s">
        <v>420</v>
      </c>
    </row>
    <row r="585" spans="1:7">
      <c r="A585" t="s">
        <v>1198</v>
      </c>
      <c r="B585">
        <v>993000</v>
      </c>
      <c r="C585">
        <v>8.35</v>
      </c>
      <c r="D585" t="s">
        <v>1046</v>
      </c>
      <c r="E585" t="s">
        <v>64</v>
      </c>
      <c r="F585">
        <v>2021</v>
      </c>
      <c r="G585" t="s">
        <v>420</v>
      </c>
    </row>
    <row r="586" spans="1:7">
      <c r="A586" t="s">
        <v>1199</v>
      </c>
      <c r="B586">
        <v>371000</v>
      </c>
      <c r="C586">
        <v>8.02</v>
      </c>
      <c r="D586" t="s">
        <v>167</v>
      </c>
      <c r="E586" t="s">
        <v>266</v>
      </c>
      <c r="F586">
        <v>2021</v>
      </c>
      <c r="G586" t="s">
        <v>420</v>
      </c>
    </row>
    <row r="587" spans="1:7">
      <c r="A587" t="s">
        <v>1200</v>
      </c>
      <c r="B587">
        <v>995</v>
      </c>
      <c r="C587">
        <v>6.43</v>
      </c>
      <c r="D587" t="s">
        <v>183</v>
      </c>
      <c r="E587" t="s">
        <v>386</v>
      </c>
      <c r="F587">
        <v>2021</v>
      </c>
      <c r="G587" t="s">
        <v>420</v>
      </c>
    </row>
    <row r="588" spans="1:7">
      <c r="A588" t="s">
        <v>1201</v>
      </c>
      <c r="B588">
        <v>905</v>
      </c>
      <c r="C588">
        <v>5.84</v>
      </c>
      <c r="D588" t="s">
        <v>57</v>
      </c>
      <c r="E588" t="s">
        <v>1203</v>
      </c>
      <c r="F588">
        <v>2021</v>
      </c>
      <c r="G588" t="s">
        <v>420</v>
      </c>
    </row>
    <row r="589" spans="1:7">
      <c r="A589" t="s">
        <v>1204</v>
      </c>
      <c r="B589">
        <v>885</v>
      </c>
      <c r="C589">
        <v>7.2</v>
      </c>
      <c r="D589" t="s">
        <v>167</v>
      </c>
      <c r="E589" t="s">
        <v>1205</v>
      </c>
      <c r="F589">
        <v>2021</v>
      </c>
      <c r="G589" t="s">
        <v>420</v>
      </c>
    </row>
    <row r="590" spans="1:7">
      <c r="A590" t="s">
        <v>1206</v>
      </c>
      <c r="B590">
        <v>881</v>
      </c>
      <c r="C590">
        <v>6.15</v>
      </c>
      <c r="D590" t="s">
        <v>1046</v>
      </c>
      <c r="E590" t="s">
        <v>1208</v>
      </c>
      <c r="F590">
        <v>2021</v>
      </c>
      <c r="G590" t="s">
        <v>420</v>
      </c>
    </row>
    <row r="591" spans="1:7">
      <c r="A591" t="s">
        <v>1209</v>
      </c>
      <c r="B591">
        <v>844</v>
      </c>
      <c r="C591">
        <v>5.86</v>
      </c>
      <c r="D591" t="s">
        <v>183</v>
      </c>
      <c r="E591" t="s">
        <v>1210</v>
      </c>
      <c r="F591">
        <v>2021</v>
      </c>
      <c r="G591" t="s">
        <v>420</v>
      </c>
    </row>
    <row r="592" spans="1:7">
      <c r="A592" t="s">
        <v>1211</v>
      </c>
      <c r="B592">
        <v>808</v>
      </c>
      <c r="C592">
        <v>5.41</v>
      </c>
      <c r="D592" t="s">
        <v>167</v>
      </c>
      <c r="E592" t="s">
        <v>1212</v>
      </c>
      <c r="F592">
        <v>2021</v>
      </c>
      <c r="G592" t="s">
        <v>420</v>
      </c>
    </row>
    <row r="593" spans="1:7">
      <c r="A593" t="s">
        <v>1213</v>
      </c>
      <c r="B593">
        <v>792</v>
      </c>
      <c r="C593">
        <v>6.13</v>
      </c>
      <c r="D593" t="s">
        <v>183</v>
      </c>
      <c r="E593" t="s">
        <v>1214</v>
      </c>
      <c r="F593">
        <v>2021</v>
      </c>
      <c r="G593" t="s">
        <v>420</v>
      </c>
    </row>
    <row r="594" spans="1:7">
      <c r="A594" t="s">
        <v>1215</v>
      </c>
      <c r="B594">
        <v>785</v>
      </c>
      <c r="C594">
        <v>6.01</v>
      </c>
      <c r="D594" t="s">
        <v>167</v>
      </c>
      <c r="E594" t="s">
        <v>1217</v>
      </c>
      <c r="F594">
        <v>2021</v>
      </c>
      <c r="G594" t="s">
        <v>420</v>
      </c>
    </row>
    <row r="595" spans="1:7">
      <c r="A595" t="s">
        <v>1218</v>
      </c>
      <c r="B595">
        <v>522</v>
      </c>
      <c r="C595">
        <v>5.69</v>
      </c>
      <c r="D595" t="s">
        <v>167</v>
      </c>
      <c r="E595" t="s">
        <v>939</v>
      </c>
      <c r="F595">
        <v>2021</v>
      </c>
      <c r="G595" t="s">
        <v>420</v>
      </c>
    </row>
    <row r="596" spans="1:7">
      <c r="A596" t="s">
        <v>1219</v>
      </c>
      <c r="B596">
        <v>265000</v>
      </c>
      <c r="C596">
        <v>7.38</v>
      </c>
      <c r="D596" t="s">
        <v>1280</v>
      </c>
      <c r="E596" t="s">
        <v>1221</v>
      </c>
      <c r="F596">
        <v>2021</v>
      </c>
      <c r="G596" t="s">
        <v>420</v>
      </c>
    </row>
    <row r="597" spans="1:7">
      <c r="A597" t="s">
        <v>1222</v>
      </c>
      <c r="B597">
        <v>963000</v>
      </c>
      <c r="C597">
        <v>8.35</v>
      </c>
      <c r="D597" t="s">
        <v>237</v>
      </c>
      <c r="E597" t="s">
        <v>27</v>
      </c>
      <c r="F597">
        <v>2021</v>
      </c>
      <c r="G597" t="s">
        <v>257</v>
      </c>
    </row>
    <row r="598" spans="1:7">
      <c r="A598" t="s">
        <v>1223</v>
      </c>
      <c r="B598">
        <v>883000</v>
      </c>
      <c r="C598">
        <v>7.18</v>
      </c>
      <c r="D598" t="s">
        <v>167</v>
      </c>
      <c r="E598" t="s">
        <v>349</v>
      </c>
      <c r="F598">
        <v>2021</v>
      </c>
      <c r="G598" t="s">
        <v>257</v>
      </c>
    </row>
    <row r="599" spans="1:7">
      <c r="A599" t="s">
        <v>1225</v>
      </c>
      <c r="B599">
        <v>671000</v>
      </c>
      <c r="C599">
        <v>7.26</v>
      </c>
      <c r="D599" t="s">
        <v>237</v>
      </c>
      <c r="E599" t="s">
        <v>70</v>
      </c>
      <c r="F599">
        <v>2021</v>
      </c>
      <c r="G599" t="s">
        <v>257</v>
      </c>
    </row>
    <row r="600" spans="1:7">
      <c r="A600" t="s">
        <v>1227</v>
      </c>
      <c r="B600">
        <v>606000</v>
      </c>
      <c r="C600">
        <v>8.3800000000000008</v>
      </c>
      <c r="D600" t="s">
        <v>183</v>
      </c>
      <c r="E600" t="s">
        <v>191</v>
      </c>
      <c r="F600">
        <v>2021</v>
      </c>
      <c r="G600" t="s">
        <v>257</v>
      </c>
    </row>
    <row r="601" spans="1:7">
      <c r="A601" t="s">
        <v>1229</v>
      </c>
      <c r="B601">
        <v>560000</v>
      </c>
      <c r="C601">
        <v>8.94</v>
      </c>
      <c r="D601" t="s">
        <v>237</v>
      </c>
      <c r="E601" t="s">
        <v>150</v>
      </c>
      <c r="F601">
        <v>2021</v>
      </c>
      <c r="G601" t="s">
        <v>257</v>
      </c>
    </row>
    <row r="602" spans="1:7">
      <c r="A602" t="s">
        <v>1231</v>
      </c>
      <c r="B602">
        <v>507000</v>
      </c>
      <c r="C602">
        <v>8.6300000000000008</v>
      </c>
      <c r="D602" t="s">
        <v>1288</v>
      </c>
      <c r="E602" t="s">
        <v>1233</v>
      </c>
      <c r="F602">
        <v>2021</v>
      </c>
      <c r="G602" t="s">
        <v>257</v>
      </c>
    </row>
    <row r="603" spans="1:7">
      <c r="A603" t="s">
        <v>1234</v>
      </c>
      <c r="B603">
        <v>464000</v>
      </c>
      <c r="C603">
        <v>6.68</v>
      </c>
      <c r="D603" t="s">
        <v>183</v>
      </c>
      <c r="E603" t="s">
        <v>1236</v>
      </c>
      <c r="F603">
        <v>2021</v>
      </c>
      <c r="G603" t="s">
        <v>257</v>
      </c>
    </row>
    <row r="604" spans="1:7">
      <c r="A604" t="s">
        <v>1237</v>
      </c>
      <c r="B604">
        <v>447000</v>
      </c>
      <c r="C604">
        <v>6.89</v>
      </c>
      <c r="D604" t="s">
        <v>167</v>
      </c>
      <c r="E604" t="s">
        <v>1070</v>
      </c>
      <c r="F604">
        <v>2021</v>
      </c>
      <c r="G604" t="s">
        <v>257</v>
      </c>
    </row>
    <row r="605" spans="1:7">
      <c r="A605" t="s">
        <v>1238</v>
      </c>
      <c r="B605">
        <v>115000</v>
      </c>
      <c r="C605">
        <v>7.48</v>
      </c>
      <c r="D605" t="s">
        <v>1043</v>
      </c>
      <c r="E605" t="s">
        <v>796</v>
      </c>
      <c r="F605">
        <v>2021</v>
      </c>
      <c r="G605" t="s">
        <v>257</v>
      </c>
    </row>
    <row r="606" spans="1:7">
      <c r="A606" t="s">
        <v>1240</v>
      </c>
      <c r="B606">
        <v>596</v>
      </c>
      <c r="C606">
        <v>5.52</v>
      </c>
      <c r="D606" t="s">
        <v>167</v>
      </c>
      <c r="E606" t="s">
        <v>1241</v>
      </c>
      <c r="F606">
        <v>2021</v>
      </c>
      <c r="G606" t="s">
        <v>257</v>
      </c>
    </row>
    <row r="607" spans="1:7">
      <c r="A607" t="s">
        <v>1242</v>
      </c>
      <c r="B607">
        <v>474000</v>
      </c>
      <c r="C607">
        <v>7.26</v>
      </c>
      <c r="D607" t="s">
        <v>167</v>
      </c>
      <c r="E607" t="s">
        <v>307</v>
      </c>
      <c r="F607">
        <v>2021</v>
      </c>
      <c r="G607" t="s">
        <v>257</v>
      </c>
    </row>
    <row r="608" spans="1:7">
      <c r="A608" t="s">
        <v>1243</v>
      </c>
      <c r="B608">
        <v>926</v>
      </c>
      <c r="C608">
        <v>5.95</v>
      </c>
      <c r="D608" t="s">
        <v>167</v>
      </c>
      <c r="E608" t="s">
        <v>104</v>
      </c>
      <c r="F608">
        <v>2021</v>
      </c>
      <c r="G608" t="s">
        <v>257</v>
      </c>
    </row>
    <row r="609" spans="1:7">
      <c r="A609" t="s">
        <v>1245</v>
      </c>
      <c r="B609">
        <v>780</v>
      </c>
      <c r="C609">
        <v>6.95</v>
      </c>
      <c r="D609" t="s">
        <v>183</v>
      </c>
      <c r="E609" t="s">
        <v>884</v>
      </c>
      <c r="F609">
        <v>2021</v>
      </c>
      <c r="G609" t="s">
        <v>257</v>
      </c>
    </row>
    <row r="610" spans="1:7">
      <c r="A610" t="s">
        <v>1246</v>
      </c>
      <c r="B610">
        <v>717</v>
      </c>
      <c r="C610">
        <v>6.74</v>
      </c>
      <c r="D610" t="s">
        <v>183</v>
      </c>
      <c r="E610" t="s">
        <v>544</v>
      </c>
      <c r="F610">
        <v>2021</v>
      </c>
      <c r="G610" t="s">
        <v>257</v>
      </c>
    </row>
    <row r="611" spans="1:7">
      <c r="A611" t="s">
        <v>1247</v>
      </c>
      <c r="B611">
        <v>670</v>
      </c>
      <c r="C611">
        <v>6.14</v>
      </c>
      <c r="D611" t="s">
        <v>183</v>
      </c>
      <c r="E611" t="s">
        <v>884</v>
      </c>
      <c r="F611">
        <v>2021</v>
      </c>
      <c r="G611" t="s">
        <v>257</v>
      </c>
    </row>
    <row r="612" spans="1:7">
      <c r="A612" t="s">
        <v>1249</v>
      </c>
      <c r="B612">
        <v>337</v>
      </c>
      <c r="C612">
        <v>5.96</v>
      </c>
      <c r="D612" t="s">
        <v>231</v>
      </c>
      <c r="E612" t="s">
        <v>1250</v>
      </c>
      <c r="F612">
        <v>2021</v>
      </c>
      <c r="G612" t="s">
        <v>257</v>
      </c>
    </row>
    <row r="613" spans="1:7">
      <c r="A613" t="s">
        <v>1251</v>
      </c>
      <c r="B613">
        <v>158000</v>
      </c>
      <c r="C613">
        <v>5.16</v>
      </c>
      <c r="D613" t="s">
        <v>237</v>
      </c>
      <c r="E613" t="s">
        <v>300</v>
      </c>
      <c r="F613">
        <v>2021</v>
      </c>
      <c r="G613" t="s">
        <v>257</v>
      </c>
    </row>
    <row r="614" spans="1:7">
      <c r="A614" t="s">
        <v>1252</v>
      </c>
      <c r="B614">
        <v>969000</v>
      </c>
      <c r="C614">
        <v>8.34</v>
      </c>
      <c r="D614" t="s">
        <v>183</v>
      </c>
      <c r="E614" t="s">
        <v>498</v>
      </c>
      <c r="F614">
        <v>2021</v>
      </c>
      <c r="G614" t="s">
        <v>561</v>
      </c>
    </row>
    <row r="615" spans="1:7">
      <c r="A615" t="s">
        <v>1253</v>
      </c>
      <c r="B615">
        <v>632000</v>
      </c>
      <c r="C615">
        <v>7.31</v>
      </c>
      <c r="D615" t="s">
        <v>183</v>
      </c>
      <c r="E615" t="s">
        <v>362</v>
      </c>
      <c r="F615">
        <v>2021</v>
      </c>
      <c r="G615" t="s">
        <v>561</v>
      </c>
    </row>
    <row r="616" spans="1:7">
      <c r="A616" t="s">
        <v>1255</v>
      </c>
      <c r="B616">
        <v>569000</v>
      </c>
      <c r="C616">
        <v>7.16</v>
      </c>
      <c r="D616" t="s">
        <v>183</v>
      </c>
      <c r="E616" t="s">
        <v>1257</v>
      </c>
      <c r="F616">
        <v>2021</v>
      </c>
      <c r="G616" t="s">
        <v>561</v>
      </c>
    </row>
    <row r="617" spans="1:7">
      <c r="A617" t="s">
        <v>1258</v>
      </c>
      <c r="B617">
        <v>527000</v>
      </c>
      <c r="C617">
        <v>7.79</v>
      </c>
      <c r="D617" t="s">
        <v>237</v>
      </c>
      <c r="E617" t="s">
        <v>619</v>
      </c>
      <c r="F617">
        <v>2021</v>
      </c>
      <c r="G617" t="s">
        <v>561</v>
      </c>
    </row>
    <row r="618" spans="1:7">
      <c r="A618" t="s">
        <v>1260</v>
      </c>
      <c r="B618">
        <v>388000</v>
      </c>
      <c r="C618">
        <v>6.91</v>
      </c>
      <c r="D618" t="s">
        <v>57</v>
      </c>
      <c r="E618" t="s">
        <v>1261</v>
      </c>
      <c r="F618">
        <v>2021</v>
      </c>
      <c r="G618" t="s">
        <v>561</v>
      </c>
    </row>
    <row r="619" spans="1:7">
      <c r="A619" t="s">
        <v>1262</v>
      </c>
      <c r="B619">
        <v>240000</v>
      </c>
      <c r="C619">
        <v>6.16</v>
      </c>
      <c r="D619" t="s">
        <v>1046</v>
      </c>
      <c r="E619" t="s">
        <v>1264</v>
      </c>
      <c r="F619">
        <v>2021</v>
      </c>
      <c r="G619" t="s">
        <v>561</v>
      </c>
    </row>
    <row r="620" spans="1:7">
      <c r="A620" t="s">
        <v>1265</v>
      </c>
      <c r="B620">
        <v>608000</v>
      </c>
      <c r="C620">
        <v>8.06</v>
      </c>
      <c r="D620" t="s">
        <v>183</v>
      </c>
      <c r="E620" t="s">
        <v>24</v>
      </c>
      <c r="F620">
        <v>2021</v>
      </c>
      <c r="G620" t="s">
        <v>561</v>
      </c>
    </row>
    <row r="621" spans="1:7">
      <c r="A621" t="s">
        <v>1266</v>
      </c>
      <c r="B621">
        <v>941</v>
      </c>
      <c r="C621">
        <v>6.45</v>
      </c>
      <c r="D621" t="s">
        <v>183</v>
      </c>
      <c r="E621" t="s">
        <v>1268</v>
      </c>
      <c r="F621">
        <v>2021</v>
      </c>
      <c r="G621" t="s">
        <v>561</v>
      </c>
    </row>
    <row r="622" spans="1:7">
      <c r="A622" t="s">
        <v>1269</v>
      </c>
      <c r="B622">
        <v>390</v>
      </c>
      <c r="C622">
        <v>6.24</v>
      </c>
      <c r="D622" t="s">
        <v>237</v>
      </c>
      <c r="E622" t="s">
        <v>1270</v>
      </c>
      <c r="F622">
        <v>2021</v>
      </c>
      <c r="G622" t="s">
        <v>561</v>
      </c>
    </row>
    <row r="623" spans="1:7">
      <c r="A623" t="s">
        <v>1271</v>
      </c>
      <c r="B623">
        <v>7300</v>
      </c>
      <c r="C623">
        <v>6.53</v>
      </c>
      <c r="D623" t="s">
        <v>1281</v>
      </c>
      <c r="E623" t="s">
        <v>1273</v>
      </c>
      <c r="F623">
        <v>2021</v>
      </c>
      <c r="G623" t="s">
        <v>561</v>
      </c>
    </row>
    <row r="624" spans="1:7">
      <c r="A624" t="s">
        <v>1274</v>
      </c>
      <c r="B624">
        <v>507</v>
      </c>
      <c r="C624">
        <v>6.35</v>
      </c>
      <c r="D624" t="s">
        <v>1288</v>
      </c>
      <c r="E624" t="s">
        <v>1276</v>
      </c>
      <c r="F624">
        <v>2021</v>
      </c>
      <c r="G624" t="s">
        <v>561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C2D6E-F3D0-4C98-BF99-FD4CC80DFFCA}">
  <sheetPr>
    <tabColor rgb="FFF273B8"/>
  </sheetPr>
  <dimension ref="A11:X27"/>
  <sheetViews>
    <sheetView tabSelected="1" zoomScale="70" zoomScaleNormal="70" workbookViewId="0"/>
  </sheetViews>
  <sheetFormatPr defaultRowHeight="14.4"/>
  <sheetData>
    <row r="11" spans="1:1">
      <c r="A11" s="5"/>
    </row>
    <row r="21" spans="23:24">
      <c r="W21" s="7"/>
    </row>
    <row r="27" spans="23:24">
      <c r="X27" s="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7F8E5-829D-4DFF-B0A3-27E9F7F60937}">
  <sheetPr>
    <tabColor rgb="FFF273B8"/>
  </sheetPr>
  <dimension ref="A11:X27"/>
  <sheetViews>
    <sheetView topLeftCell="A28" zoomScaleNormal="100" workbookViewId="0"/>
  </sheetViews>
  <sheetFormatPr defaultRowHeight="14.4"/>
  <sheetData>
    <row r="11" spans="1:1">
      <c r="A11" s="5"/>
    </row>
    <row r="27" spans="24:24">
      <c r="X27" s="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C1AF516-6CF8-4271-BDA9-9AF68DFD8DA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Sheet2</vt:lpstr>
      <vt:lpstr>PivotTable2</vt:lpstr>
      <vt:lpstr>new</vt:lpstr>
      <vt:lpstr>PivotTable1</vt:lpstr>
      <vt:lpstr>maindata2</vt:lpstr>
      <vt:lpstr>maindata</vt:lpstr>
      <vt:lpstr>Dashboard</vt:lpstr>
      <vt:lpstr>PlatformWiseDashboard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Sweta Das</dc:creator>
  <cp:keywords/>
  <dc:description/>
  <cp:lastModifiedBy>Sweta Das</cp:lastModifiedBy>
  <cp:revision/>
  <cp:lastPrinted>2026-04-07T21:58:28Z</cp:lastPrinted>
  <dcterms:created xsi:type="dcterms:W3CDTF">2026-04-07T19:23:19Z</dcterms:created>
  <dcterms:modified xsi:type="dcterms:W3CDTF">2026-04-12T20:38:13Z</dcterms:modified>
  <cp:category/>
  <cp:contentStatus/>
</cp:coreProperties>
</file>